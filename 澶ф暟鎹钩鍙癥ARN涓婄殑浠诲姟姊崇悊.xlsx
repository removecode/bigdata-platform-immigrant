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云脑大数据平台" sheetId="1" r:id="rId3"/>
    <sheet name="运营数据湖" sheetId="2" r:id="rId4"/>
    <sheet name="项目数据来源及输出" sheetId="3" r:id="rId5"/>
    <sheet name="表到项目的映射" sheetId="4" r:id="rId6"/>
  </sheets>
  <calcPr calcId="191029"/>
</workbook>
</file>

<file path=xl/sharedStrings.xml><?xml version="1.0" encoding="utf-8"?>
<sst xmlns="http://schemas.openxmlformats.org/spreadsheetml/2006/main" count="601" uniqueCount="601">
  <si>
    <t/>
  </si>
  <si>
    <t>【保留】：
检查是否可以优化 SQL 语句。
【可下线】：
下线相应的服务。
【待确认】：
确认该服务是否仍需使用：
-&gt;如果需要使用：检查是否可以优化 SQL 语句。
-&gt;如果不再需要使用：评估是否可以进行下线处理。
【异常任务】：
异常信息记录在备注栏中，请进行检查：
-&gt;如果服务仍需使用：修复错误的服务，并检查是否可以优化 SQL 语句。
-&gt;如果服务不再需要：评估是否可以执行下线处理。</t>
  </si>
  <si>
    <t xml:space="preserve">  首列标*说明有多个子任务/一个任务有多条sql语句，这里只举例一个</t>
  </si>
  <si>
    <t>任务类型</t>
  </si>
  <si>
    <t>负责人</t>
  </si>
  <si>
    <t>业务分类</t>
  </si>
  <si>
    <t>优先级</t>
  </si>
  <si>
    <t>task type</t>
  </si>
  <si>
    <t>queue</t>
  </si>
  <si>
    <t>频次</t>
  </si>
  <si>
    <t>集群占比%</t>
  </si>
  <si>
    <t>container</t>
  </si>
  <si>
    <t>CPU</t>
  </si>
  <si>
    <t>ARA-MB-seconds</t>
  </si>
  <si>
    <t>ARA-MB-hours</t>
  </si>
  <si>
    <t>ARA-vcore-seconds</t>
  </si>
  <si>
    <t>运行时间</t>
  </si>
  <si>
    <t>备注</t>
  </si>
  <si>
    <t>Application</t>
  </si>
  <si>
    <t>soapa-logger-stream-prc</t>
  </si>
  <si>
    <t>保留</t>
  </si>
  <si>
    <t>刘俊</t>
  </si>
  <si>
    <t>soapa-logger-dev-es</t>
  </si>
  <si>
    <t>高</t>
  </si>
  <si>
    <t>flink</t>
  </si>
  <si>
    <t>online</t>
  </si>
  <si>
    <t>/</t>
  </si>
  <si>
    <t>http://code.sangfor.org/SRI/SCIA/warehouse/soapa-logger-stream-prc/blob/master/app/soapa-logger-stream-prc/src/main/scala/com/sangfor/cloud/logger/conf/BaseConfig.scala</t>
  </si>
  <si>
    <t>soapa-logger-stats-es</t>
  </si>
  <si>
    <t>soapa-logger-audit-hdfs</t>
  </si>
  <si>
    <t>soapa-logger-stats-hdfs</t>
  </si>
  <si>
    <t>secevent-to-hive-stream-prc</t>
  </si>
  <si>
    <t>待确认</t>
  </si>
  <si>
    <t>明瞻</t>
  </si>
  <si>
    <t>secevent-to-hive-stream-csc</t>
  </si>
  <si>
    <t>http://code.sangfor.org/SRI/SCIA/warehouse/secevent-to-hive-stream-prc/blob/master/start/start-sec2hive.sh</t>
  </si>
  <si>
    <t>online-dev-warehousing-prc</t>
  </si>
  <si>
    <t>段宁强</t>
  </si>
  <si>
    <t>business</t>
  </si>
  <si>
    <t>http://code.sangfor.org/SRI/SCIA/devid/online-dev-warehousing-prc/blob/master/src/myapp/src/main/scala/com/sangfor/cloud/online/dev/warehouse/config/AppConfig.scala</t>
  </si>
  <si>
    <t>cloud-display-manager-prc</t>
  </si>
  <si>
    <t>肖扬</t>
  </si>
  <si>
    <t>cloud-display-detail-new</t>
  </si>
  <si>
    <t>云鉴页面</t>
  </si>
  <si>
    <t>spark</t>
  </si>
  <si>
    <t>常驻</t>
  </si>
  <si>
    <t>http://code.sangfor.org/SRI/SCIA/YJ/cloud-display-manager-prc/blob/master/src/scala/cloud_detail_stream/src/com/sangfor/cloud_display/detail/conf/Settings.scala</t>
  </si>
  <si>
    <t>cloud-display-statistic</t>
  </si>
  <si>
    <t>http://code.sangfor.org/SRI/SCIA/YJ/cloud-display-manager-prc/blob/master/src/scala/cloud_statistic_stream/src/com/sangfor/cloud_display/statistic/conf/Settings.scala</t>
  </si>
  <si>
    <t>asset-discovery-task</t>
  </si>
  <si>
    <t>可下线</t>
  </si>
  <si>
    <t>http://code.sangfor.org/SRI/SCIA/devid/asset-discovery-task/blob/master/src/scala/asset-discovery-task/src/com/sangfor/assetdiscovery/dao/HiveUtil.scala</t>
  </si>
  <si>
    <t>vuln-assert-analysis</t>
  </si>
  <si>
    <t>资产关联漏洞分析</t>
  </si>
  <si>
    <t>vuln_assert_analysis</t>
  </si>
  <si>
    <t>10 * * * *</t>
  </si>
  <si>
    <t>2mins, 1sec</t>
  </si>
  <si>
    <t>secevent-to-hive-partition-pruned-cron-job</t>
  </si>
  <si>
    <t>王绪寒</t>
  </si>
  <si>
    <t>secevent-to-hive-partition-pruned</t>
  </si>
  <si>
    <t>etl</t>
  </si>
  <si>
    <t>1 12 * * *</t>
  </si>
  <si>
    <t>43sec</t>
  </si>
  <si>
    <t>http://code.sangfor.org/SRI/SCIA/warehouse/secevent-to-hive-partition-pruned-cron-job/blob/master/src/scala/secevent-to-hive-partition-pruned-cron-job/com/sangfor/cloud/warehouse/partition_pruned/conf/Config.scala</t>
  </si>
  <si>
    <t>secevent-to-hive-batch</t>
  </si>
  <si>
    <t>已下线</t>
  </si>
  <si>
    <t>压缩产品线上报日志</t>
  </si>
  <si>
    <t>15 * * * *</t>
  </si>
  <si>
    <t>29sec</t>
  </si>
  <si>
    <t>http://code.sangfor.org/SRI/SCIA/oozie/oozie-sz/blob/master/src/scala/secevent-to-hive-batch/com/sangfor/cloud/secevent/batch/config/BaseConfig.scala</t>
  </si>
  <si>
    <t>sync-mongo2hive-job</t>
  </si>
  <si>
    <t>王坤</t>
  </si>
  <si>
    <t>hashinfo-to-hive</t>
  </si>
  <si>
    <t>未设定</t>
  </si>
  <si>
    <t>34hrs, 11mins, 45sec</t>
  </si>
  <si>
    <t>连续两天在operation跑，etl太满？</t>
  </si>
  <si>
    <t>http://code.sangfor.org/SRI/SCIA/sync/sync-mongo2hive-job/blob/master/src2/scala/sync-mongo2hive/src/main/scala/com/sangfor/cloud/config/BaseConfig.scala</t>
  </si>
  <si>
    <t>ati-relations-loader-job</t>
  </si>
  <si>
    <t>融合后的关系数据，spark任务提交Job</t>
  </si>
  <si>
    <t>load_tag2hive</t>
  </si>
  <si>
    <t>default</t>
  </si>
  <si>
    <t>http://code.sangfor.org/SRI/SCIA/ATI/ati-relations-loader-job/blob/master/start-load2hive.sh</t>
  </si>
  <si>
    <t>load_edge2hive</t>
  </si>
  <si>
    <t>AtiRelationsLoader-iocEdges</t>
  </si>
  <si>
    <t>6 * * * *</t>
  </si>
  <si>
    <t>1mins, 39sec</t>
  </si>
  <si>
    <t>http://code.sangfor.org/SRI/SCIA/ATI/ati-relations-loader-job/blob/master/start-ioc-edges-cron-job.sh</t>
  </si>
  <si>
    <t>AtiRelationsLoader-iocTags</t>
  </si>
  <si>
    <t>1mins, 34sec</t>
  </si>
  <si>
    <t>http://code.sangfor.org/SRI/SCIA/ATI/ati-relations-loader-job/blob/master/start-ioc-tags-cron-job.sh</t>
  </si>
  <si>
    <t>*sodl_ods_info(oozie)</t>
  </si>
  <si>
    <t>数据湖数据同步</t>
  </si>
  <si>
    <t>MAPREDUCE</t>
  </si>
  <si>
    <t>oozie</t>
  </si>
  <si>
    <t>07 * * * *</t>
  </si>
  <si>
    <t>11mins, 27sec</t>
  </si>
  <si>
    <t>http://code.sangfor.org/SRI/SCIA/oozie/oozie-sz/blob/master/oozie_projects/jobs/ShenZhen/sodl_ods_info/config.xml</t>
  </si>
  <si>
    <t>secevent-to-hive-batch(oozie)</t>
  </si>
  <si>
    <t>安全事件批处理入hive库（？</t>
  </si>
  <si>
    <t>55sec</t>
  </si>
  <si>
    <t>*sodl_dwb_info(oozie)</t>
  </si>
  <si>
    <t>中间表</t>
  </si>
  <si>
    <t>、</t>
  </si>
  <si>
    <t>30 02 * * *</t>
  </si>
  <si>
    <t>1hrs, 27mins, 14sec</t>
  </si>
  <si>
    <t>http://code.sangfor.org/SRI/SCIA/oozie/oozie-sz/blob/master/oozie_projects/jobs/ShenZhen/sodl_dwb_info/config.xml</t>
  </si>
  <si>
    <t>*log_compress(oozie)</t>
  </si>
  <si>
    <t>刘树文</t>
  </si>
  <si>
    <t>30 00 * * *</t>
  </si>
  <si>
    <t>16hrs, 31mins, 25sec</t>
  </si>
  <si>
    <t>http://code.sangfor.org/SRI/SCIA/oozie/oozie-sz/blob/master/oozie_projects/jobs/ShenZhen/log_compress/config.xml</t>
  </si>
  <si>
    <t>*topthreat_hot_stat(oozie)</t>
  </si>
  <si>
    <t>6mins, 36sec</t>
  </si>
  <si>
    <t>http://code.sangfor.org/SRI/SCIA/oozie/oozie-sz/blob/master/oozie_projects/jobs/ShenZhen/topthreat_hot_stat/config.xml</t>
  </si>
  <si>
    <t>secevent_analyse(oozie)</t>
  </si>
  <si>
    <t>1mins, 0sec</t>
  </si>
  <si>
    <t>http://code.sangfor.org/SRI/SCIA/oozie/oozie-sz/blob/master/oozie_projects/jobs/ShenZhen/secevent_analyse/config.xml</t>
  </si>
  <si>
    <t>create_hive_partition(oozie)</t>
  </si>
  <si>
    <t>30 12,15,18 * * *</t>
  </si>
  <si>
    <t>2mins, 13sec</t>
  </si>
  <si>
    <t>http://code.sangfor.org/SRI/SCIA/oozie/oozie-sz/blob/master/oozie_projects/jobs/ShenZhen/create_hive_partition/config.xml</t>
  </si>
  <si>
    <t>gnn-domain-hive-query-cronjob</t>
  </si>
  <si>
    <t>查询图数据库域名</t>
  </si>
  <si>
    <t>域名情报生产-图神经网络</t>
  </si>
  <si>
    <t>tez</t>
  </si>
  <si>
    <t>operation</t>
  </si>
  <si>
    <t>30 * * * *</t>
  </si>
  <si>
    <t>11mins, 30sec</t>
  </si>
  <si>
    <t>http://code.sangfor.org/SRI/SCIA/CIPD/DOMAIN/PRE/gnn-domain-hive-query-cronjob/blob/master/unittest/data/app_cfg.json</t>
  </si>
  <si>
    <t>SELECT DISTINCT key FROM csc.ods_csc_ioc_vertex WHERE graph_type='Domain' and atime&gt;=1756202400 and atime&lt;1756206000 and utime&gt;=1755601200 and str1 in ('2','3','4')</t>
  </si>
  <si>
    <t>application_1751683746773_96605</t>
  </si>
  <si>
    <t>dashboard-stats-job</t>
  </si>
  <si>
    <t>公司大屏</t>
  </si>
  <si>
    <t>DEVICE_STATS_SQL</t>
  </si>
  <si>
    <t>情报公司大屏展示</t>
  </si>
  <si>
    <t>1 * * * *</t>
  </si>
  <si>
    <t>http://code.sangfor.org/SRI/SCIA/analysis/dashboard-stats-job/blob/master/app-sdk/soapa-sangfor-lib/python/common/sql.py</t>
  </si>
  <si>
    <t>SELECT product,
count(DISTINCT(dev_id)) as dev_num
FROM default.ods_devicemanager_deviceinfo
GROUP BY product</t>
  </si>
  <si>
    <t>application_1751683746773_96645</t>
  </si>
  <si>
    <t xml:space="preserve">IP_SECURITY_SQL </t>
  </si>
  <si>
    <t>1mins, 40sec</t>
  </si>
  <si>
    <t>SELECT t1.threatclass as threatclass,
t1.threattype as threattype,
t1.threatsubtype as threatsubtype,
t1.producttype as producttype,
t1.url as ioc,
regexp_extract(t2.customer_info, 'city=(.*?)[,}]', 1) AS city,
regexp_extract(t2.customer_info, 'ip=(.*?)[,}]', 1) AS ip
FROM sodl.network_security_log t1
LEFT JOIN default.ods_devicemanager_deviceinfo t2 ON t1.manage = t2.dev_id
WHERE t1.reqruleid &gt;='14000000'
AND t1.reqruleid &lt; '14999999'
AND t1.titype = 2
AND t1.threatclass=209
AND t1.threattype NOT IN (9,
14,
15)
AND t1.producttype != 'NULL'
AND t1.manage != 'NULL'
AND t1.url != 'NULL'
AND t2.customer_info != 'NULL'
AND t1.DAY = 20250825
AND t1.hour = 1
LIMIT 1000</t>
  </si>
  <si>
    <t>application_1751683746773_96646</t>
  </si>
  <si>
    <t>DOMAIN_SECURITY_SQL</t>
  </si>
  <si>
    <t xml:space="preserve"> 50sec</t>
  </si>
  <si>
    <t>SELECT t1.threatclass as threatclass,
t1.threattype as threattype,
t1.threatsubtype as threatsubtype,
t1.producttype as producttype,
t1.url as ioc,
regexp_extract(t2.customer_info, 'city=(.*?)[,}]', 1) AS city,
regexp_extract(t2.customer_info, 'ip=(.*?)[,}]', 1) AS ip
FROM sodl.network_security_log t1
LEFT JOIN default.ods_devicemanager_deviceinfo t2 ON t1.manage = t2.dev_id
WHERE t1.reqruleid &gt;='14000000'
AND t1.reqruleid &lt; '14999999'
AND t1.titype = 0
AND t1.threatclass=209
AND t1.threattype NOT IN (9,
14,
15)
AND t1.producttype != 'NULL'
AND t1.manage != 'NULL'
AND t1.url != 'NULL'
AND t2.customer_info != 'NULL'
AND t1.DAY = 20250825
AND t1.hour = 1
LIMIT 1000</t>
  </si>
  <si>
    <t>application_1751683746773_96648</t>
  </si>
  <si>
    <t xml:space="preserve">URL_SECURITY_SQL </t>
  </si>
  <si>
    <t>2mins, 55sec</t>
  </si>
  <si>
    <t>SELECT t1.threatclass as threatclass,
t1.threattype as threattype,
t1.threatsubtype as threatsubtype,
t1.producttype as producttype,
t1.url as ioc,
regexp_extract(t2.customer_info, 'city=(.*?)[,}]', 1) AS city,
regexp_extract(t2.customer_info, 'ip=(.*?)[,}]', 1) AS ip
FROM sodl.network_security_log t1
LEFT JOIN default.ods_devicemanager_deviceinfo t2 ON t1.manage = t2.dev_id
WHERE t1.reqruleid &gt;='14000000'
AND t1.reqruleid &lt; '14999999'
AND t1.titype = 1
AND t1.threatclass=214
AND t1.threattype NOT IN (2,
3)
AND t1.producttype != 'NULL'
AND t1.manage != 'NULL'
AND t1.dstip != 'NULL'
AND t1.url != 'NULL'
AND t2.customer_info != 'NULL'
AND t1.DAY = 20250825
AND t1.hour = 1
LIMIT 1000</t>
  </si>
  <si>
    <t>application_1751683746773_96650</t>
  </si>
  <si>
    <t xml:space="preserve">FILE_SECURITY_SQL </t>
  </si>
  <si>
    <t>23sec</t>
  </si>
  <si>
    <t>SELECT t1.threatclass as threatclass,
t1.threattype as threattype,
t1.threatsubtype as threatsubtype,
t1.producttype as producttype,
t1.filemd5 as ioc,
regexp_extract(t2.customer_info, 'city=(.*?)[,}]', 1) AS city,
regexp_extract(t2.customer_info, 'ip=(.*?)[,}]', 1) AS ip
FROM sodl.endpoint_security_log t1
LEFT JOIN default.ods_devicemanager_deviceinfo t2 ON t1.manage = t2.dev_id
WHERE t1.threatclass=209
AND t1.threattype NOT IN (9,
14,
15)
AND t1.producttype != 'NULL'
AND t1.manage != 'NULL'
AND t1.filemd5 != 'NULL'
AND t1.filemd5 != ''
AND t2.customer_info != 'NULL'
AND t1.DAY = 20250825
AND t1.hour = 1
LIMIT 1000</t>
  </si>
  <si>
    <t>application_1751683746773_96654</t>
  </si>
  <si>
    <t>topthreat_hot_stat</t>
  </si>
  <si>
    <t>blcak_file_stat</t>
  </si>
  <si>
    <t>热门威胁-热度统计</t>
  </si>
  <si>
    <t>3mins, 39sec</t>
  </si>
  <si>
    <t>http://code.sangfor.org/SRI/SCIA/oozie/oozie-sz/blob/master/oozie_projects/jobs/ShenZhen/topthreat_hot_stat/code/black_file_stat.yaml</t>
  </si>
  <si>
    <t>SELECT md5,   count(1)AS md5_num,                                                                                                                                                                                 
count(DISTINCT devid) AS device_num
FROM
(SELECT lower(get_json_object(str10_tmp, "$.filemd5")) AS md5,
get_json_object(str10_tmp, "$.info.attr") AS attr,
str2 AS devid
FROM default.log_audit_source LATERAL VIEW explode(default.format_json_list(regexp_replace(str10, '[\\\\]+"', '"'))) str10_tbl AS str10_tmp
WHERE log_app_id = 'analysis-proxy-api'
AND module_id IN ('file_hash' ,
'file_scan')
AND str1 IN ('VNGAF' ,
'NGAF' ,
'EDR' ,
'EDR_BOTNET' ,
'SIP' ,
'SIP_SMTP' ,
'SIP_SMB' ,
'AC' ,
'VAC' ,
'CWPP' ,
'SASE' ,
'EDR_WEBSITE' ,
'EDR_NPE' ,
'EDR_CLOUD_IDENTIFY' ,
'EDR_PK')
AND long1 = 0
AND day = 20250826
AND hour = 01) a
WHERE md5 IS NOT NULL
AND md5 NOT IN ('',
'-')
AND attr='0'
GROUP BY md5,
devid
ORDER BY md5_num DESC
LIMIT 100000</t>
  </si>
  <si>
    <t>blcak_url_stat</t>
  </si>
  <si>
    <t xml:space="preserve"> 3mins, 9sec</t>
  </si>
  <si>
    <t>http://code.sangfor.org/SRI/SCIA/oozie/oozie-sz/blob/master/oozie_projects/jobs/ShenZhen/topthreat_hot_stat/code/blcak_url_stat.yaml</t>
  </si>
  <si>
    <t xml:space="preserve">          SELECT url,  sum(url_num) AS url_num,
                 count(DISTINCT devid) AS device_num
          FROM
            (SELECT url,
                    devid,
                    count(1) AS url_num
             FROM
               (SELECT lower(get_json_object(str10_tmp, "$.url")) AS url,
                       str2 AS devid
                FROM default.log_audit_source LATERAL VIEW explode(default.format_json_list(regexp_replace(str10, '[\\\\]+"', '"'))) str10_tbl AS str10_tmp
                WHERE log_app_id IN ('url-proxy-svc' ,
                                     'cloudcheck')
                  AND module_id IN ('url-proxy-svc' ,
                                    'CloudCheck')
                  AND str1 IN ('VNGAF' ,
                               'NGAF' ,
                               'EDR' ,
                               'EDR_BOTNET' ,
                               'SIP' ,
                               'SIP_SMTP' ,
                               'SIP_SMB' ,
                               'AC' ,
                               'VAC' ,
                               'CWPP' ,
                               'SASE' ,
                               'EDR_WEBSITE' ,
                               'EDR_NPE' ,
                               'EDR_CLOUD_IDENTIFY' ,
                               'EDR_PK')
                  AND long1 = 0
                  AND get_json_object(str10_tmp, "$.info.attr")='0'
                  AND day = ${day}
                  AND hour = ${hour} ) a
             WHERE url IS NOT NULL
               AND url NOT IN ('',
                               '-')
             GROUP BY url,
                      devid
             UNION ALL 
             SELECT url,
                    manage AS devid,
                    sum(log_num) AS url_num
             FROM sodl.network_security_log
             WHERE url IS NOT NULL
               AND url NOT IN ('',
                               '-')
               AND day = ${day}
               AND hour = ${hour}
             GROUP BY url,
                      manage
             UNION ALL 
             SELECT ioc AS url,
                    manage AS devid,
                    sum(record_count) AS url_num
             FROM sodl.sip_iocstat_log
             WHERE ioc_type = 'url'
               AND ioc IS NOT NULL
               AND ioc NOT IN ('',
                               '-')
               AND day = ${day}
               AND hour = ${hour}
             GROUP BY ioc,
                      manage ) t
          GROUP BY url,
                   devid
          ORDER BY url_num DESC
          LIMIT 100000</t>
  </si>
  <si>
    <t>black_domain_stat</t>
  </si>
  <si>
    <t>3mins, 48sec</t>
  </si>
  <si>
    <t>http://code.sangfor.org/SRI/SCIA/oozie/oozie-sz/blob/master/oozie_projects/jobs/ShenZhen/topthreat_hot_stat/code/black_domain_stat.yaml</t>
  </si>
  <si>
    <t xml:space="preserve">          SELECT domain,  sum(domain_num) AS domain_num,
                 count(DISTINCT devid) AS device_num
          FROM
            (SELECT domain,
                    devid,
                    count(1) AS domain_num
             FROM
               (SELECT lower(get_json_object(str10_tmp, "$.domain")) AS domain,
                       str2 AS devid
                FROM default.log_audit_source LATERAL VIEW explode(default.format_json_list(regexp_replace(str10, '[\\\\]+"', '"'))) str10_tbl AS str10_tmp
                WHERE log_app_id IN ('domain-proxy-svc' ,
                                     'cloudcheck')
                  AND module_id IN ('domain-proxy-svc' ,
                                    'CloudCheck')
                  AND str1 IN ('VNGAF' ,
                               'NGAF' ,
                               'EDR' ,
                               'EDR_BOTNET' ,
                               'SIP' ,
                               'SIP_SMTP' ,
                               'SIP_SMB' ,
                               'AC' ,
                               'VAC' ,
                               'CWPP' ,
                               'SASE' ,
                               'EDR_WEBSITE' ,
                               'EDR_NPE' ,
                               'EDR_CLOUD_IDENTIFY' ,
                               'EDR_PK')
                  AND long1 = 0
                  AND get_json_object(str10_tmp, "$.info.attr")='0'
                  AND day = ${day}
                  AND hour = ${hour} ) a
             WHERE domain IS NOT NULL
               AND domain NOT IN ('',
                                  '-')
             GROUP BY domain,
                      devid
             UNION ALL
              SELECT domain,
                     devid,
                     sum(log_num) AS domain_num
              FROM
                (SELECT split(split(url, '//')[size(split(url, '//')) -1], '/')[0] AS domain,
                        MANAGE AS devid,
                        log_num
                 FROM sodl.network_security_log
                 WHERE url IS NOT NULL
                   AND url NOT IN ('',
                                   '-')
                   AND day = ${day}
                   AND hour = ${hour})t
              WHERE domain IS NOT NULL
                AND domain != ''
              GROUP BY domain,
                       devid
             UNION ALL
             SELECT ioc AS domain,
                    manage AS devid,
                    sum(record_count) AS domain_num
             FROM sodl.sip_iocstat_log
             WHERE ioc_type = 'domain'
               AND ioc IS NOT NULL
               AND ioc NOT IN ('',
                               '-')
               AND day = ${day}
               AND hour = ${hour}
             GROUP BY ioc,
                      manage ) t
          GROUP BY domain,
                   devid
          ORDER BY domain_num DESC
          LIMIT 100000</t>
  </si>
  <si>
    <t>sodl_dwb_info</t>
  </si>
  <si>
    <t>dwb_sodl_domain_info</t>
  </si>
  <si>
    <t xml:space="preserve"> 1hrs, 20mins, 52sec</t>
  </si>
  <si>
    <t>http://code.sangfor.org/SRI/SCIA/oozie/oozie-sz/blob/master/oozie_projects/jobs/ShenZhen/sodl_dwb_info/code/dwb/dwb_sodl_domain_info.sql</t>
  </si>
  <si>
    <t xml:space="preserve">WITH black_dns AS   (SELECT t2.family AS family,
          tags2.ch_name AS category,
          t2.row_key AS row_key,
          length(t2.row_key) AS row_key_len,
          cast(t2.add_time as string) as add_time
   FROM
     (SELECT max(tags1.en_name) AS family,
             t1.category,
             t1.row_key,
             max(t1.add_time) AS add_time
      FROM
        (SELECT domain AS row_key,
                regexp_extract(labels, "family=(.*?)[,}]", 1) AS family,
                regexp_extract(labels, "category=(.*?)[,}]", 1) AS category,
                deleted_time,
                add_time
         FROM csc.ods_csc_db_domain_intelligence_tb_domain_reputation_sync
      where deleted_time=0 and reputation='0')t1
      JOIN sri.ods_sri_ti_tags tags1 ON t1.family=tags1.row_key
      WHERE tags1.is_deleted='0'
      GROUP BY t1.row_key,
               t1.family,
               t1.category) t2
   JOIN sri.ods_sri_ti_tags tags2 ON t2.category=tags2.row_key
   WHERE tags2.is_deleted='0' )
INSERT overwrite directory "/hive/dwb/sodl/domain_info/${mday}" ROW format delimited fields terminated BY '\t' stored AS parquet
SELECT threatclass,
       threattype,
       threatsubtype,
       producttype,
       manage,
       productver,
       domain,
       engine,
       titype,
       srcip,
       dstip,
       reqRuleId,
       row_key,
       family,
       category,
       add_time,
       log_num,
       attack_count,
       src_log,
       regexp_extract(r5.customer_info, "city=(.*?)[,}]", 1) AS city,
       regexp_extract(r5.customer_info, "province=(.*?)[,}]", 1) AS province,
       regexp_extract(r5.customer_info, "country=(.*?)[,}]", 1) AS country,
       regexp_extract(r5.customer_info, "industry=(.*?)[,}]", 1) AS industry,
       regexp_extract(r5.customer_info, "sub_industry=(.*?)[,}]", 1) AS sub_industry,
       action
FROM
  (SELECT threatclass,
          threattype,
          threatsubtype,
          producttype,
          manage,
          productver,
          domain,
          engine,
          titype,
          srcip,
          dstip,
          action,
          reqRuleId,
          sub_domain,
          log_num,
          attack_count,
          src_log,
          r3.row_key AS row_key,
          r3.family AS family,
          r3.category AS category,
          r3.add_time AS add_time,
          row_number() over(partition BY domain, manage, productver, dstip, srcip
                            ORDER BY r3.row_key_len DESC) AS rank
   FROM
     (SELECT threatclass,
             threattype,
             threatsubtype,
             producttype,
             manage,
             productver,
             domain,
             engine,
             titype,
             sub_domain,
             srcip,
             dstip,
             action,
             reqRuleId,
             log_num,
             attack_count,
             src_log
      FROM
        (SELECT threatclass,
                threattype,
                threatsubtype,
                producttype,
                manage,
                productver,
                domain,
                engine,
                titype,
                srcip,
                dstip,
                action,
                reqRuleId,
                sum(log_num) AS log_num,
                sum(log_num) AS attack_count,
                'network_security_log' AS src_log
         FROM
           (SELECT threatclass,
                   threattype,
                   threatsubtype,
                   producttype,
                   manage,
                   productver,
                   split(split(url, '//')[size(split(url, '//')) - 1], '/')[0] AS domain,
                   engine,
                   titype,
                   srcip,
                   dstip,
                   action,
                   reqRuleId,
                   log_num
            FROM sodl.network_security_log
            WHERE DAY = ${mday} ) t1
         WHERE domain IS NOT NULL
           AND domain != ''
         GROUP BY threatclass,
                  threattype,
                  threatsubtype,
                  producttype,
                  manage,
                  productver,
                  domain,
                  engine,
                  titype,
                  srcip,
                  dstip,
                  action,
                  reqRuleId
         UNION ALL SELECT 0 AS threatclass,
                          0 AS threattype,
                          0 AS threatsubtype,
                          producttype,
                          manage,
                          productver,
                          queries AS domain,
                          '-' as engine,
                          0 as titype,
                          srcip,
                          dstip,
                          NULL as action,
                          '-' as reqRuleId,
                          sum(log_num) AS log_num,
                          sum(log_num) AS attack_count,
                          'dns_log' AS src_log
         FROM sodl.dns_log
         WHERE DAY = ${mday}
           AND queries IS NOT NULL
           AND queries != ''
         GROUP BY producttype,
                  manage,
                  productver,
                  queries,
                  srcip,
                  dstip
         UNION ALL SELECT 0 AS threatclass,
                          0 AS threattype,
                          0 AS threatsubtype,
                          producttype,
                          manage,
                          productver,
                          ioc AS domain,
                          '-' as engine,
                           0 as titype,
                          '-' as srcip,
                          '-' AS dstip,
                          NULL as action,
                          '-' as reqRuleId,
                          sum(log_num) AS log_num,
                          sum(record_count) AS attack_count,
                          'sip_iocstat_log' AS src_log
         FROM sodl.sip_iocstat_log
         WHERE DAY = ${mday}
           AND ioc_type = 'domain'
           AND ioc IS NOT NULL
           AND ioc != ''
         GROUP BY producttype,
                  manage,
                  productver,
                  ioc
         UNION ALL SELECT 0 AS threatclass,
                          0 AS threattype,
                          0 AS threatsubtype,
                          producttype,
                          manage,
                          productver,
                          domain,
                          '-' as engine,
                           0 as titype,
                          '-' as srcip,
                          manageip AS dstip,
                          NULL as action,
                          '-' as reqRuleId,
                          sum(log_num) AS log_num,
                          sum(log_num) AS attack_count,
                          'endpoint_security_log' AS src_log
         FROM sodl.endpoint_security_log
         WHERE DAY = ${mday}
           AND domain IS NOT NULL
           AND domain != ''
         GROUP BY producttype,
                  manage,
                  productver,
                  domain,
                  manageip
         UNION ALL SELECT 0 AS threatclass,
                          0 AS threattype,
                          0 AS threatsubtype,
                          producttype,
                          manage,
                          productver,
                          host AS domain,
                          '-' as engine,
                          0 as titype,
                          sip as srcip,
                          dip AS dstip,
                          NULL as action,
                          '-' as reqRuleId,
                          sum(log_num) AS log_num,
                          sum(log_num) AS attack_count,
                          'url_log' AS src_log
         FROM sodl.url_log
         WHERE DAY = ${mday}
           AND host IS NOT NULL
           AND host != ''
         GROUP BY producttype,
                  manage,
                  productver,
                  host,
                  sip,
                  dip) r1 LATERAL VIEW default.sub_parent_domain(domain) domain_info AS sub_domain) r2
   LEFT JOIN black_dns r3 ON r2.sub_domain=r3.row_key
   WHERE r3.row_key IS NOT NULL
     OR r2.domain=r2.sub_domain ) r4
LEFT JOIN default.ods_devicemanager_deviceinfo r5 ON r4.manage = r5.dev_id
WHERE r4.rank=1;
</t>
  </si>
  <si>
    <t>dwb_sodl_ip_info</t>
  </si>
  <si>
    <t>39mins, 3sec</t>
  </si>
  <si>
    <t>http://code.sangfor.org/SRI/SCIA/oozie/oozie-sz/blob/master/oozie_projects/jobs/ShenZhen/sodl_dwb_info/code/dwb/dwb_sodl_ip_info.sql</t>
  </si>
  <si>
    <t xml:space="preserve">WITH black_ip AS   (SELECT fam_tags.en_name AS family,
       cat_tags.ch_name AS category,
       base.row_key,
       CAST(base.add_time AS STRING) AS add_time
FROM
  (SELECT ip AS row_key,
          add_time,
          REGEXP_EXTRACT(REGEXP_EXTRACT(labels, '\\[(.+?)\\]', 1), 'family=(.*?)[,}]', 1) AS family_key,
          REGEXP_EXTRACT(REGEXP_EXTRACT(labels, '\\[(.+?)\\]', 1), 'category=(.*?)[,}]', 1) AS category_key
   FROM csc.ods_csc_tim_db_intelligence_tb_ip_reputation_sync
   WHERE deleted_time = 0
     AND reputation = '0'
     AND direction = '2'
     AND port = 0 ) base
JOIN sri.ods_sri_ti_tags fam_tags ON base.family_key = fam_tags.row_key
AND fam_tags.is_deleted = '0'
JOIN sri.ods_sri_ti_tags cat_tags ON base.category_key = cat_tags.row_key
AND cat_tags.is_deleted = '0')
INSERT overwrite directory "/hive/dwb/sodl/ip_info/${mday}" ROW format delimited fields terminated BY '\t' stored AS parquet
SELECT threatclass,
       threattype,
       threatsubtype,
       producttype,
       manage,
       productver,
       srcip,
       dstip,
       engine,
       titype,
       reqRuleId,
       log_num,
       attack_count,
       src_log,
       regexp_extract(r2.customer_info, 'city=(.*?)[,}]', 1) AS city,
       regexp_extract(r2.customer_info, 'province=(.*?)[,}]', 1) AS province,
       regexp_extract(r2.customer_info, 'country=(.*?)[,}]', 1) AS country,
       regexp_extract(r2.customer_info, 'industry=(.*?)[,}]', 1) AS industry,
       regexp_extract(r2.customer_info, 'sub_industry=(.*?)[,}]', 1) AS sub_industry,
       action,
       family,
       category,
       add_time
FROM
  (-- network_security_log
 SELECT threatclass,
        threattype,
        threatsubtype,
        producttype,
        manage,
        productver,
        srcip,
        dstip,
        engine,
        titype,
        reqRuleId,
        action,
        sum(log_num) AS log_num,
        sum(log_num) AS attack_count,
        'network_security_log' AS src_log
   FROM sodl.network_security_log
   WHERE DAY = ${mday}
   GROUP BY threatclass,
            threattype,
            threatsubtype,
            producttype,
            manage,
            productver,
            srcip,
            dstip,
            engine,
            titype,
            reqRuleId,
            action
   UNION ALL -- dns_log
 SELECT 0 AS threatclass,
        0 AS threattype,
        0 AS threatsubtype,
        producttype,
        manage,
        productver,
        srcip,
        dstip,
        '-' as engine,
        0 as titype,
        '-' as reqRuleId,
        NULL as action,
        sum(log_num) AS log_num,
        sum(log_num) AS attack_count,
        'dns_log' AS src_log
   FROM sodl.dns_log
   WHERE DAY = ${mday}
   GROUP BY producttype,
            manage,
            productver,
            srcip,
            dstip
   UNION ALL -- url_log
 SELECT 0 AS threatclass,
        0 AS threattype,
        0 AS threatsubtype,
        producttype,
        manage,
        productver,
        sip as srcip,
        dip as dstip,
        '-' as engine,
        0 as titype,
        '-' as reqRuleId,
        NULL as action,
        sum(log_num) AS log_num,
        sum(log_num) AS attack_count,
        'url_log' AS src_log
   FROM sodl.url_log
   WHERE DAY = ${mday}
   GROUP BY producttype,
            manage,
            productver,
            sip,
            dip
   UNION ALL -- sodl.http_log
 SELECT 0 AS threatclass,
        0 AS threattype,
        0 AS threatsubtype,
        producttype,
        manage,
        productver,
        srcip,
        dstip,
        '-' as engine,
        0 as titype,
        '-' as reqRuleId,
        NULL as action,
        sum(log_num) AS log_num,
        sum(log_num) AS attack_count,
        'http_log' AS src_log
   FROM sodl.http_log
   WHERE DAY = ${mday}
   GROUP BY producttype,
            manage,
            productver,
            srcip,
            dstip
   UNION ALL -- sip_iocstat_log
 SELECT 0 AS threatclass,
        0 AS threattype,
        0 AS threatsubtype,
        producttype,
        manage,
        productver,
        '-' AS srcip,
        regexp_extract(ioc, '(.+)(:.+)?', 1) AS dstip,
        '-' as engine,
        0 as titype,
        '-' as reqRuleId,
        NULL as action,
        sum(log_num) AS log_num,
        sum(record_count) AS attack_count,
        'sip_iocstat_log' AS src_log
   FROM sodl.sip_iocstat_log
   WHERE DAY = ${mday}
     AND ioc_type = 'ip'
   GROUP BY producttype,
            manage,
            productver,
            ioc) r1
LEFT JOIN black_ip r3 ON r1.dstip=r3.row_key
LEFT JOIN default.ods_devicemanager_deviceinfo r2 ON r1.manage=r2.dev_id;
</t>
  </si>
  <si>
    <t>dwb_sodl_md5_info</t>
  </si>
  <si>
    <t>2hrs, 49mins, 15sec</t>
  </si>
  <si>
    <t>http://code.sangfor.org/SRI/SCIA/oozie/oozie-sz/blob/master/oozie_projects/jobs/ShenZhen/sodl_dwb_info/code/dwb/dwb_sodl_md5_info.sql</t>
  </si>
  <si>
    <t xml:space="preserve">SELECT r1.threatclass,  r1.threattype,
       r1.threatsubtype,
       r1.producttype,
       r1.manage,
       r1.productver,
       r1.filehash,
       r1.dstip,
       r1.reqRuleId,
       r1.engine,
       r2.oid,
       r2.file_attr,
       r2.file_type,
       r2.source_type,
       r2.type,
       r2.family,
       r2.platform,
       r2.upload_source,
       r2.virus_name AS virus_name_hash,
       r1.log_num,
       r1.attack_count,
       r1.src_log,
       regexp_extract(r3.customer_info, "city=(.*?)[,}]", 1) AS city,
       regexp_extract(r3.customer_info, "province=(.*?)[,}]", 1) AS province,
       regexp_extract(r3.customer_info, "country=(.*?)[,}]", 1) AS country,
       regexp_extract(r3.customer_info, "industry=(.*?)[,}]", 1) AS industry,
       regexp_extract(r3.customer_info, "sub_industry=(.*?)[,}]", 1) AS sub_industry
FROM
  (SELECT threatclass,
          threattype,
          threatsubtype,
          producttype,
          manage,
          productver,
          lower(filehash) AS filehash,
          dstip,
          reqRuleId,
          engine,
          sum(log_num) AS log_num,
          sum(log_num) AS attack_count,
          'network_security_log' AS src_log
   FROM sodl.network_security_log
   WHERE DAY = ${mday}
     AND filehash != ''
     AND filehash IS NOT NULL
   GROUP BY threatclass,
            threattype,
            threatsubtype,
            producttype,
            manage,
            productver,
            filehash,
            dstip,
            reqRuleId,
            engine
   UNION ALL SELECT threatclass,
                    threattype,
                    threatsubtype,
                    producttype,
                    manage,
                    productver,
                    lower(filemd5),
                    manageip,
                    '-' as reqRuleId,
                    engine,
                    sum(log_num) AS log_num,
                    sum(log_num) AS attack_count,
                    'endpoint_security_log' AS src_log
   FROM sodl.endpoint_security_log
   WHERE DAY = ${mday}
     AND filemd5 != ''
     AND filemd5 IS NOT NULL
   GROUP BY threatclass,
            threattype,
            threatsubtype,
            producttype,
            manage,
            productver,
            filemd5,
            manageip,
            engine
   UNION ALL SELECT 0 AS threatclass,
                    0 AS threattype,
                    0 AS threatsubtype,
                    producttype,
                    manage,
                    productver,
                    lower(ioc),
                    '-' AS dip,
                    '-' as reqRuleId,
                    '-' AS engine,
                    sum(log_num) AS log_num,
                    sum(record_count) AS attack_count,
                    'sip_iocstat_log' AS src_log
   FROM sodl.sip_iocstat_log
   WHERE DAY = ${mday}
     AND ioc_type = 'file'
     AND ioc != ''
     AND ioc IS NOT NULL
   GROUP BY producttype,
            manage,
            productver,
            ioc) r1
LEFT JOIN sri.ods_sri_hashinfo r2 ON lower(r1.filehash) = lower(r2.file_md5)
LEFT JOIN default.ods_devicemanager_deviceinfo r3 ON r1.manage = r3.dev_id
WHERE length(r1.filehash)=32;
</t>
  </si>
  <si>
    <t>dwb_sodl_url_info</t>
  </si>
  <si>
    <t>1hrs, 26mins, 36sec</t>
  </si>
  <si>
    <t>http://code.sangfor.org/SRI/SCIA/oozie/oozie-sz/blob/master/oozie_projects/jobs/ShenZhen/sodl_dwb_info/code/dwb/dwb_sodl_url_info.sql</t>
  </si>
  <si>
    <t xml:space="preserve">WITH report_cloud_lib_url AS   (SELECT mask,
          cast(add_time as string) as add_time,
          category,
          CASE
              WHEN indexA=0
                   AND indexP=0 THEN NULL
              WHEN indexA=0
                   AND indexP&gt;0 THEN regexp_extract(labels, "(B002_P....)", 1)
              WHEN indexA&gt;0
                   AND indexP=0 THEN regexp_extract(labels, "(B002_A.....)", 1)
              WHEN indexA&lt;indexP THEN regexp_extract(labels, "(B002_A.....)", 1)
              ELSE regexp_extract(labels, "(B002_P....)", 1)
          END AS family
   FROM
     (SELECT mask,
             add_time,
             labels,
             regexp_extract(labels, "(B002_C....)", 1) AS category,
             instr(labels, 'A') AS indexA,
             instr(labels, 'P') AS indexP
      FROM csc.ods_csc_db_url_intelligence_tb_url_reputation_sync
      WHERE instr(labels, 'B002')&gt;0
        AND deleted_time=0 )t)
INSERT overwrite directory "/hive/dwb/sodl/url_info/${mday}" ROW format delimited fields terminated BY '\t' stored AS parquet
SELECT threatclass,
       threattype,
       threatsubtype,
       producttype,
       manage,
       productver,
       url,
       raw_url,
       engine,
       titype,
       srcip,
       dstip,
       reqRuleId,
       r2.category,
       r2.family,
       r2.add_time,
       log_num,
       attack_count,
       src_log,
       regexp_extract(r3.customer_info, "city=(.*?)[,}]", 1) AS city,
       regexp_extract(r3.customer_info, "province=(.*?)[,}]", 1) AS province,
       regexp_extract(r3.customer_info, "country=(.*?)[,}]", 1) AS country,
       regexp_extract(r3.customer_info, "industry=(.*?)[,}]", 1) AS industry,
       regexp_extract(r3.customer_info, "sub_industry=(.*?)[,}]", 1) AS sub_industry
FROM
  (SELECT threatclass,
          threattype,
          threatsubtype,
          producttype,
          manage,
          productver,
          url,
          raw_url,
          engine,
          titype,
          srcip,
          dstip,
          reqRuleId,
          sum(log_num) AS log_num,
          sum(log_num) AS attack_count,
          'network_security_log' AS src_log
   FROM
     (SELECT threatclass,
             threattype,
             threatsubtype,
             producttype,
             manage,
             productver,
             default.calc_url_mask(url) AS url,
             url AS raw_url,
             engine,
             titype,
             srcip,
             dstip,
             reqRuleId,
             log_num
      FROM sodl.network_security_log
      WHERE DAY = ${mday}
        AND url IS NOT NULL
        AND url != '') t1
   GROUP BY threatclass,
            threattype,
            threatsubtype,
            producttype,
            manage,
            productver,
            url,
            raw_url,
            engine,
            titype,
            srcip,
            dstip,
            reqRuleId
   UNION ALL SELECT 0 AS threatclass,
                    0 AS threattype,
                    0 AS threatsubtype,
                    producttype,
                    manage,
                    productver,
                    url,
                    raw_url,
                    '-' as engine,
                    0 as titype,
                    srcip,
                    dstip,
                    '-' as reqRuleId,
                    sum(log_num) AS log_num,
                    sum(log_num) AS attack_count,
                    'url_log' AS src_log
   FROM
     (SELECT producttype,
             manage,
             productver,
             default.calc_url_mask(host || uri) AS url,
             host || uri AS raw_url,
             sip AS srcip,
             dip AS dstip,
             log_num
      FROM sodl.url_log
      WHERE DAY = ${mday}
        AND host IS NOT NULL
        AND host != '' ) t1
   GROUP BY producttype,
            manage,
            productver,
            url,
            raw_url,
            srcip,
            dstip
   UNION ALL SELECT 0 AS threatclass,
                    0 AS threattype,
                    0 AS threatsubtype,
                    producttype,
                    manage,
                    productver,
                    url,
                    raw_url,
                    '-' as engine,
                    0 as titype,
                    '-' AS srcip,
                    '-' AS dstip,
                    '-' as reqRuleId,
                    sum(log_num) AS log_num,
                    sum(record_count) AS attack_count,
                    'sip_iocstat_log' AS src_log
   FROM
     (SELECT producttype,
             manage,
             productver,
             default.calc_url_mask(ioc) AS url,
             ioc AS raw_url,
             log_num,
             record_count
      FROM sodl.sip_iocstat_log
      WHERE DAY = ${mday}
        AND ioc_type='url'
        AND ioc IS NOT NULL
        AND ioc != '') t1
   GROUP BY producttype,
            manage,
            productver,
            url,
            raw_url
   UNION ALL SELECT 0 AS threatclass,
                    0 AS threattype,
                    0 AS threatsubtype,
                    producttype,
                    manage,
                    productver,
                    url,
                    raw_url,
                    '-' as engine,
                    0 as titype,
                    '-' AS srcip,
                    '-' AS dstip,
                    '-' as reqRuleId,
                    sum(log_num) AS log_num,
                    sum(log_num) AS attack_count,
                    'http_log' AS src_log
   FROM
     (SELECT producttype,
             manage,
             productver,
             default.calc_url_mask(url) AS url,
             url AS raw_url,
             log_num
      FROM sodl.http_log
      WHERE DAY = ${mday} ) t1
   GROUP BY producttype,
            manage,
            productver,
            url,
            raw_url)r1
LEFT JOIN report_cloud_lib_url r2 ON md5(r1.url)=r2.mask
LEFT JOIN default.ods_devicemanager_deviceinfo r3 ON r1.manage=r3.dev_id;
</t>
  </si>
  <si>
    <t>log_compress</t>
  </si>
  <si>
    <t>日志压缩</t>
  </si>
  <si>
    <t>insert_audit</t>
  </si>
  <si>
    <t>1hrs, 4mins, 46sec</t>
  </si>
  <si>
    <t>http://code.sangfor.org/SRI/SCIA/oozie/oozie-sz/blob/master/oozie_projects/jobs/ShenZhen/log_compress/code/insert_audit.sql</t>
  </si>
  <si>
    <t>INSERT OVERWRITE TABLE csc.ods_csc_log_audit PARTITION (app_id, year, month, day)
SELECT log_time,
log_app_id,
module_id,
log_type,
host_name,
long1,
long2,
long3,
long4,
long5,
str1,
str2,
str3,
str4,
str5,
str6,
str7,
str8,
str9,
str10,
hour,
repository_name,
cluster_name,
log_app_id AS app_id,
year AS year,
month AS month,
day AS day
FROM default.log_audit_source WHERE day="20251101"</t>
  </si>
  <si>
    <t>insert_stats</t>
  </si>
  <si>
    <t>3hrs, 26mins, 19sec</t>
  </si>
  <si>
    <t>http://code.sangfor.org/SRI/SCIA/oozie/oozie-sz/blob/master/oozie_projects/jobs/ShenZhen/log_compress/code/insert_stats.sql</t>
  </si>
  <si>
    <t>INSERT OVERWRITE TABLE csc.ods_csc_log_stats PARTITION (app_id, year, month, day)
SELECT log_time,
log_app_id,
module_id,
log_type,
host_name,
double1,
double2,
double3,
long1,
long2,
long3,
long4,
long5,
str1,
str2,
str3,
str4,
str5,
hour,
repository_name,
cluster_name,
log_app_id AS app_id,
year AS year,
month AS month,
day AS day
FROM default.log_stats_source
WHERE day="20251101"
AND length(log_app_id)&lt;128</t>
  </si>
  <si>
    <t xml:space="preserve"> dw_domain_info_audit.sql</t>
  </si>
  <si>
    <t>24mins, 47sec</t>
  </si>
  <si>
    <t>WITH black_dns AS
  (SELECT t2.family AS family,
          tags2.ch_name AS category,
          t2.row_key AS row_key,
          length(t2.row_key) AS row_key_len,
          t2.add_time
   FROM
     (SELECT max(tags1.en_name) AS family,
             t1.category,
             t1.row_key,
             max(t1.add_time) AS add_time
      FROM
        (SELECT domain AS row_key,
                regexp_extract(labels, "family=(.*?)[,}]", 1) AS family,
                regexp_extract(labels, "category=(.*?)[,}]", 1) AS category,
                deleted_time,
                add_time
         FROM csc.ods_csc_db_domain_intelligence_tb_domain_reputation_sync
	  where deleted_time=0 and reputation='0')t1
      JOIN sri.ods_sri_ti_tags tags1 ON t1.family=tags1.row_key
      WHERE tags1.is_deleted='0'
      GROUP BY t1.row_key,
               t1.family,
               t1.category) t2
   JOIN sri.ods_sri_ti_tags tags2 ON t2.category=tags2.row_key
   WHERE tags2.is_deleted='0')
INSERT overwrite directory "/hive/dwb/default/domain_info_audit/${mday}" ROW format delimited fields terminated BY '\t' stored AS parquet
SELECT r4.DOMAIN, r4.devid, r4.dev_version, r4.dip, r4.prod, r4.src_log, r4.log_num, r4.attack_count, r4.extends,
       r4.row_key, r4.family, r4.category, r4.add_time,
       regexp_extract(r5.customer_info, "city=(.*?)[,}]", 1) AS city,
       regexp_extract(r5.customer_info, "province=(.*?)[,}]", 1) AS province,
       regexp_extract(r5.customer_info, "country=(.*?)[,}]", 1) AS country,
       regexp_extract(r5.customer_info, "industry=(.*?)[,}]", 1) AS industry,
       regexp_extract(r5.customer_info, "sub_industry=(.*?)[,}]", 1) AS sub_industry,
       r4.source,
       r4.attr
FROM
(SELECT r2.DOMAIN, r2.devid, r2.dev_version, r2.dip, r2.prod, r2.src_log, r2.log_num, r2.attack_count, r2.extends,
       r3.row_key AS row_key, r3.family AS family, r3.category AS category, r3.add_time AS add_time, r2.source, r2.attr,
       row_number() over(partition by r2.DOMAIN, r2.devid, r2.dev_version, r2.dip order by row_key_len desc) AS rank
FROM
(SELECT r1.DOMAIN, r1.devid, r1.dev_version, r1.dip, r1.prod, r1.src_log, r1.log_num, r1.attack_count, r1.extends,
        r1.source, r1.attr,
       substring_index(r1.DOMAIN, '.', cast(sp_len AS int)-size(split(r1.DOMAIN, '\\.'))-1) AS sub_domain
FROM
    (
    --log_audit (cloudcheck)
    SELECT DOMAIN,
           devid,
           dev_version,
           "-" AS dip,
           prod,
           "log_audit" AS src_log,
           "cloudcheck" AS source,
           attr,
           sum(log_num) AS log_num,
           sum(log_num) AS attack_count,
           collect_list(concat("-@",log_num,"@", log_num)) AS extends
    FROM
      (SELECT DOMAIN,
              prod,
              devid,
              dev_version,
              attr,
              count(1) AS log_num
       FROM
         (SELECT get_json_object(str10_tmp, "$.domain") AS DOMAIN,
                 (CASE
                      WHEN str1 IN ('VNGAF',
                                    'NGAF') THEN 'AF'
                      WHEN str1 IN ('AC',
                                    'VAC') THEN 'AC'
                      WHEN str1 IN ('EDR',
                                    'EDR_BOTNET') THEN 'EDR'
                      WHEN str1 IN ('SIP',
                                    'SIP_SMTP',
                                    'SIP_SMB') THEN 'SIP'
                      WHEN str1 IN ('SDW-R') THEN 'SDW'
                  END) AS prod,
                 str2 AS devid,
                 str3 AS dev_version,
                 get_json_object(str10_tmp, "$.info.attr") AS attr
          FROM csc.ods_csc_log_audit
          LATERAL VIEW explode(default.format_json_list(regexp_replace(str10, '[\\\\]+"', '"'))) str10_tbl AS str10_tmp
          WHERE app_id = 'cloudcheck'
            AND module_id = 'CloudCheck'
            AND str5='domains'
            AND str1 IN ('VNGAF',
                         'NGAF',
                         'EDR',
                         'EDR_BOTNET',
                         'SIP',
                         'SIP_SMTP</t>
  </si>
  <si>
    <t xml:space="preserve">dw_md5_info_audit.sql </t>
  </si>
  <si>
    <t>49mins, 30sec</t>
  </si>
  <si>
    <t xml:space="preserve">INSERT overwrite directory "/hive/dwb/default/md5_info_audit/${mday}" ROW format delimited fields terminated BY '\t' stored AS parquet
SELECT  r1.md5, r1.devid, r1.dev_version, r1.dip, r1.prod, r1.src_log, r1.log_num, r1.attack_count, r1.extends,
       r2.oid, r2.file_attr, r2.file_type, r2.source_type, r2.type, r2.family, r2.platform, r2.upload_source, r2.virus_name AS virus_name_hash,
       regexp_extract(r3.customer_info, "city=(.*?)[,}]", 1) AS city,
       regexp_extract(r3.customer_info, "province=(.*?)[,}]", 1) AS province,
       regexp_extract(r3.customer_info, "country=(.*?)[,}]", 1) AS country,
       regexp_extract(r3.customer_info, "industry=(.*?)[,}]", 1) AS industry,
       regexp_extract(r3.customer_info, "sub_industry=(.*?)[,}]", 1) AS sub_industry,
       r1.source, r1.attr
FROM
    --log_audit
    (SELECT md5,
           devid,
           dev_version,
           "-" AS dip,
           prod,
           "log_audit" AS src_log,
           source,
           attr,
           sum(log_num) AS log_num,
           sum(log_num) AS attack_count,
           collect_list(concat("-@",log_num,"@", log_num)) AS extends
    FROM
      (SELECT md5,
              prod,
              devid,
              dev_version,
              source,
              attr,
              count(1) AS log_num
       FROM
         (SELECT lower(get_json_object(str10_tmp, "$.filemd5")) AS md5,
                 (CASE
                      WHEN str1 IN ('VNGAF',
                                    'NGAF') THEN 'AF'
                      WHEN str1 IN ('AC',
                                    'VAC') THEN 'AC'
                      WHEN str1 IN ('SIP',
                                    'SIP_SMTP',
                                    'SIP_SMB') THEN 'SIP'
                      WHEN str1 IN ('CWPP') THEN 'CWPP'
                      WHEN str1 IN ('SASE') THEN 'SASE'
					  WHEN instr(str1, 'EDR')&gt;0 then 'EDR'
                  END) AS prod,
                 str2 AS devid,
                 str3 AS dev_version,
                 module_id AS source,
                 get_json_object(str10_tmp, "$.info.attr") as attr
          FROM csc.ods_csc_log_audit LATERAL VIEW explode(default.format_json_list(regexp_replace(str10, '[\\\\]+"', '"'))) str10_tbl AS str10_tmp
          WHERE app_id = 'analysis-proxy-api'
            AND module_id IN ('file_hash',
                              'file_scan')
            AND long1 = 0
            AND DAY = ${mday})a
       WHERE md5 IS NOT NULL AND md5 NOT IN ('', '-')
       GROUP BY md5,
                devid,
                dev_version,
                prod,
                source,
                attr)b
    GROUP BY md5,
             devid,
             dev_version,
             prod,
             source,
             attr)r1
LEFT JOIN sri.ods_sri_hashinfo r2
ON lower(r1.md5) = lower(r2.file_md5)
LEFT JOIN default.ods_devicemanager_deviceinfo r3
ON r1.devid = r3.dev_id
WHERE length(r1.md5)=32;
</t>
  </si>
  <si>
    <t>1hrs, 10mins, 53sec</t>
  </si>
  <si>
    <t xml:space="preserve">WITH report_cloud_lib_url AS
  (SELECT mask,
          cast(add_time as string) as add_time,
          category,
          CASE
              WHEN indexA=0
                   AND indexP=0 THEN NULL
              WHEN indexA=0
                   AND indexP&gt;0 THEN regexp_extract(labels, "(B002_P....)", 1)
              WHEN indexA&gt;0
                   AND indexP=0 THEN regexp_extract(labels, "(B002_A.....)", 1)
              WHEN indexA&lt;indexP THEN regexp_extract(labels, "(B002_A.....)", 1)
              ELSE regexp_extract(labels, "(B002_P....)", 1)
          END AS family
   FROM
     (SELECT mask,
             add_time,
             labels,
             regexp_extract(labels, "(B002_C....)", 1) AS category,
             instr(labels, 'A') AS indexA,
             instr(labels, 'P') AS indexP
      FROM csc.ods_csc_db_url_intelligence_tb_url_reputation_sync
      WHERE instr(labels, 'B002')&gt;0
        AND deleted_time=0 )t)
INSERT overwrite directory "/hive/dwb/default/url_info_audit/${mday}" ROW format delimited fields terminated BY '\t' stored AS parquet
SELECT r1.url,
       r1.devid,
       r1.dev_version,
       r1.dip,
       r1.prod,
       r1.src_log,
       r1.log_num,
       r1.attack_count,
       r1.extends,
       r2.category,
       r2.family,
       r2.add_time,
       regexp_extract(r3.customer_info, "city=(.*?)[,}]", 1) AS city,
       regexp_extract(r3.customer_info, "province=(.*?)[,}]", 1) AS province,
       regexp_extract(r3.customer_info, "country=(.*?)[,}]", 1) AS country,
       regexp_extract(r3.customer_info, "industry=(.*?)[,}]", 1) AS industry,
       regexp_extract(r3.customer_info, "sub_industry=(.*?)[,}]", 1) AS sub_industry,
       r1.source,
       r1.attr,
       r1.raw_url
FROM
  (--log_audit (cloudcheck)
 SELECT url,
        '-' AS raw_url,
        devid,
        dev_version,
        "-" AS dip,
        prod,
        "log_audit" AS src_log,
        "cloudcheck" AS SOURCE,
        attr,
        log_num,
        log_num AS attack_count,
        array(concat("-@",log_num,"@", log_num)) AS extends
   FROM
     (SELECT url,
             prod,
             devid,
             dev_version,
             attr,
             count(1) AS log_num
      FROM
        (SELECT default.calc_url_mask(get_json_object(str10_tmp, "$.url")) AS url,
                (CASE
                     WHEN str1 IN ('VNGAF',
                                   'NGAF') THEN 'AF'
                     WHEN str1 IN ('AC',
                                   'VAC') THEN 'AC'
                     WHEN str1 IN ('EDR',
                                   'EDR_BOTNET') THEN 'EDR'
                     WHEN str1 IN ('SIP',
                                   'SIP_SMTP',
                                   'SIP_SMB') THEN 'SIP'
                     WHEN str1 IN ('SDW-R') THEN 'SDW'
                 END) AS prod,
                str2 AS devid,
                str3 AS dev_version,
                get_json_object(str10_tmp, "$.info.attr") AS attr
         FROM csc.ods_csc_log_audit LATERAL VIEW explode(default.format_json_list(regexp_replace(str10, '[\\\\]+"', '"'))) str10_tbl AS str10_tmp
         WHERE app_id = 'cloudcheck'
           AND module_id='CloudCheck'
           AND str5='urls'
           AND str1 IN ('VNGAF',
                        'NGAF',
                        'EDR',
                        'EDR_BOTNET',
                        'SIP',
                        'SIP_SMTP',
                        'SIP_SMB',
                        'AC',
                        'VAC',
                        'SDW-R')
           AND long1=0
           AND DAY = ${mday})a
      WHERE url IS NOT NULL
        AND url NOT IN ('',
                        '-')
      GROUP BY url,
               devid,
               dev_version,
               prod,
               attr)b
   UNION ALL --log_audit (cloud-check-handler)
 SELECT url,
        raw_url,
        devid,
        dev_version,
        "-" AS dip,
        prod,
        "log_audit" AS src_log,
        "cloud-check-handler" AS SOURCE,
        attr,
        log_num,
        log_num AS attack_count,attr,
        log_num,
        log_num AS attack_count,
        array(concat("-@",log_num,"@", log_num)) AS extends
   FROM
     (SELECT url,
             raw_url,
             prod,
             devid,
             dev_version,
             attr,
             count(1) AS log_num
      FROM
        (SELECT default.calc_url_mask(str4) AS url,
                str4 AS raw_url,
                (CASE
                     WHEN str1 IN ('VNGAF',
                                   'NGAF') THEN 'AF'
                     WHEN str1 IN ('AC',
                                   'VAC') THEN 'AC'
                     WHEN str1 IN ('EDR',
                                   'EDR_BOTNET') THEN 'EDR'
                     WHEN str1 IN ('SIP',
                                   'SIP_SMTP',
                                   'SIP_SMB') THEN 'SIP'
                     WHEN str1 IN ('SDW-R') THEN 'SDW'
                 END) AS prod,
                str2 AS devid,
                str3 AS dev_version,
                cast(long1 AS STRING) AS attr
         FROM csc.ods_csc_log_audit
         WHERE app_id = 'cloud-check-handler'
           AND module_id='cloud-check-handler'
           AND str5='url'
           AND str1 IN ('VNGAF',
                        'NGAF',
                        'EDR',
                        'EDR_BOTNET',
                        'SIP',
                        'SIP_SMTP',
                        'SIP_SMB',
                        'AC',
                        'VAC',
                        'SDW-R')
           AND DAY = ${mday})a
      WHERE url IS NOT NULL
        AND url NOT IN ('',
                        '-')
      GROUP BY url,
               raw_url,
               devid,
               dev_version,
               prod,
               attr)b)r1
LEFT JOIN report_cloud_lib_url r2 ON md5(r1.url)=r2.mask
LEFT JOIN default.ods_devicemanager_deviceinfo r3 ON r1.devid = r3.dev_id;
 </t>
  </si>
  <si>
    <t>thug-task-monitor-prc
容器:thug-task-monitor-hive-source-prc</t>
  </si>
  <si>
    <t>彭宜</t>
  </si>
  <si>
    <t>1mins</t>
  </si>
  <si>
    <t>http://code.sangfor.org/SRI/SCIA/TIBFE/thug-task-monitor-prc/blob/master/hive_source/hive_feed.py</t>
  </si>
  <si>
    <t>SELECT DISTINCT domain
FROM
(SELECT DISTINCT domain
FROM default.dwb_domain_info
WHERE DAY='20240401'
AND src_log='log_audit'
UNION ALL SELECT DISTINCT domain
FROM sodl.dwb_sodl_domain_info
WHERE DAY='20240401' ) t
WHERE (
domain regexp '(95598|hdcvi|nevint|oneplus|oppomobile|1hai|fawjiefang|cmburl|cmbur1|roewe|shcmct|zpmc|snerdi|dgspda|ihr\.dfl|ccccyhj|shecltd|cccclc|cnnc|sinointl|yituogroup|ippr|sinochem|cwcec|ccccitg|picc|cict|norinco|china|comac|ccecc|cntcc|cscec|flight|cma\.cn|cnooc|cfbpc|ynyc|crmsc|cetc13|cee.{0,1}group|dzp\.tv|scyt|cqyta|cpplb|shenhua|jspdi|acae|cggcintl|cggc|aiapi|rai[l1]way|crsc|cnechc|ccfcc|caiga|myvessel|crsg|cr11gbim|cec\-cn|crreg|crmrc|gzdex|tobacco|jhscm|doduotrip|sundray|fsyz|huaqin|xsyxapp|mengniu|tiantanbio|bmncc|beiben|mixcweb|crland|ts\.gd\.cn|superknow|xyfybjy|lndtc|bojx|gynybx|sdic|spicsx|spic|ceic|e\-chn|600795|sdic|cydl|sgydifc|wmmotors|wm\-oa\.|cambricon|15331|pamarkets|acura|zygs|95522|energy|hbny|midea|tpri|epcc|cydl|ycpc|ynjt|wbmining|citic|idcpc|cfhi|caict|csgc|openaboc|chng|mail\.csg|cicc|caep|cnbm|ccss|pric|cneic|cmbc|iwhr|celap|ceiec|cssn|avic|cnaf|csoa|ccs\.org|csscgc|cosco|cmc\.com|psbcoa|yhzqjj|cgwic|locpg|cetc|catic|zhongyugas|csic|ebscn|idcpc|srrc|snpsc|cnipa|taiji|bank|sio\.org|qxslab).+'
OR domain regexp '(mail|mai1|rnail).*(airforce|auth|account|check|core|count|cout|document|edu|gov|login|logon|info|online|server|sevr|site|software|support|upgrad|update|valid|verif)'
OR domain regexp '(mai1|mail|rnail|count).*(126|163).*(com\.|serve|system|member|download|login|logon|website|solution|core|support|quest)'
OR domain regexp '^(www\.){0,1}[a-zA-Z]*(126|163|l63|l26|sina)\-*[a-zA-Z]*\.[a-z]{3,10}$'
OR domain regexp '(gov\.cn|edu\.cn|gov\-cn|edu\-cn|educn|govcn|checkmail|checkurl|coremail|cstnet|jspsession|mai1\.|maill\.|rnail|smail|e\-mail|mailbox|mail\-box).+'
OR domain regexp '(account|auth|check|info|login|logon|mail|upgrad|update|verif).*(airforce|auth|account|check|core|count|cout|document|edu|gov|login|logon|info|mail|online|server|sevr|site|software|support|upgrad|update|valid|verif)'
OR domain regexp '(mail|mai1|rnail|gov|edu|account|auth|check|login|logon|support|upgrad|update|verif|neteas|bit|buaa|buct|caac|cae|cags|cap|cass|caic|cati|ccpi|ccs|cdi|cdu|ceie|ciae|cidca|citi|cmc|cmec|cmu|cnbm|cnsa|cos|cohc|cpmiec|cqu|csoc|cssc|cstnet|csu|cxxc|czec|dlmu|ecut|fmmu|fudan|fzu|gdei|huawei|hit|hwacreate|hydro|jari|jlu|jspi|lswz|maii|maric|miit|mil|mfa|most|muc|ndrc|maric|mod|mof|mohurd|most|mot|msa|nanhai|ncu|nea|nepa|nepu|nju|nudt|nsfc|nuaa|nudt|nwpu|paec|pak|piesat|pku|pof|poly|power|rcu|ruc|sass|sasac|sco|scu|sdu|shu|szu|shisu|sino|sina|sjtu|slaf|smg|snepc|snerdi|sohu|south|spacestar|suparco|swip|tianjiao|tongji|tsinghua|wbminig|xhtc|xisu|xjtu|xmu|xpsrchvw|yicai|10086|gov\.cn|edu\.cn|gov\-cn|edu\-cn|govcn|educn).+netlify.app'
OR domain regexp '(mail|mai1|rnail|account|auth|check|info|login|logon|upgrad|update|verif).*(bit|buaa|buct|caac|cae|cags|cap|cass|caic|cati|ccpi|ccs|cdi|cdu|ceie|ciae|cidca|citi|cmc|cmec|cmu|cnbm|cnsa|cos|cohc|cpmiec|cqu|csoc|cssc|cstnet|csu|cxxc|czec|dlmu|ecut|fmmu|fudan|fzu|gdei|huawei|hit|hwacreate|hydro|jari|jlu|jspi|lswz|maii|maric|miit|mil|mfa|most|muc|ndrc|maric|mod|mof|mohurd|most|mot|msa|nanhai|ncu|nea|nepa|nepu|nju|nudt|nsfc|nuaa|nudt|nwpu|paec|pak|piesat|pku|pof|poly|power|rcu|ruc|sass|sasac|sco|scu|sdu|shu|szu|shisu|sino|sina|sjtu|slaf|smg|snepc|snerdi|sohu|south|spacestar|suparco|swip|tianjiao|tongji|tsinghua|wbminig|xhtc|xisu|xjtu|xmu|xpsrchvw|yicai|10086).+'
OR domain regexp '(bit|buaa|buct|caac|cae|cags|cap|cass|caic|cati|ccpi|ccs|cdi|cdu|ceie|ciae|cidca|citi|cmc|cmec|cmu|cnbm|cnsa|cos|cohc|cpmiec|cqu|csoc|cssc|cstnet|csu|cxxc|czec|dlmu|ecut|fmmu|fudan|fzu|gdei|huawei|hit|hwacreate|hydro|jari|jlu|jspi|lswz|maii|maric|miit|mil|mfa|most|muc|ndrc|maric|mod|mof|mohurd|most|mot|msa|nanhai|ncu|nea|nepa|nepu|nju|nudt|nsfc|nuaa|nudt|nwpu|paec|pak|piesat|pku|pof|poly|power|rcu|ruc|sass|sasac|sco|scu|sdu|shu|szu|shisu|sino|sina|sjtu|slaf|smg|snepc|snerdi|sohu|south|spacestar|suparco|swip|tianjiao|tongji|tsinghua|wbminig|xhtc|xisu|xjtu|xmu|xpsrchvw|yicai|10086).*(mail|mai1|rnail|account|auth|check|info|login|logon|upgrad|update|verif).+'
)
AND NOT (
domain regexp '.+(localdomain|addr-in|host|local|dhcp|internal|novalocal|lan|yumfastupdate\.com|v6lvs\.com|gov\.cn|edu\.cn|e5\.sk
et\.cn|cn\.cn|getcacheddhcpresultsforcurrentconfig|home|googlesyndication\.com|googlebot\.com|googlevideo\.com|googleapis\.com|steelyard\.ca|e5\.sk|edu.hk|baiduyuncdn\.net|baiduyuncdn\.com|baidu\.com\.hk|xn\-\-fiqs8s|chinayuanwang\.com|fudan\.edu\.cn.{3,7}|xtepchina\.com\.cn|chinabulker\.com|heisino\.com|china\-tg\.com|navchina\.com|btrchina\.com|.chinabed\.com|jcdecaux\.org|ewpower\.com|sinomab\.com|mercadopago\.com\.pe|glpoly\.net|ccpit\.org|powerleader\.yongda|chinatat\.org|cansinotech\.com|brightmail\.com|armchina\.com|dnssina\.com|china\-goldcard\.com|sinopharm\-xs\.com|huawei\-3com\.com|amazonaws\.com|citicicc\.com|chinatat\.net|china\-atep\.org|qq\.com|chinacamel\.net|chinaunionpay\.net|rendachina\.com|smnchina\.com|kingsoonchina\.com|shenmapower\.com|vxichina\.com|chinapayhongkong\.com|com\.workgroup|avicbj\.ad|hansong\-china\.com|citicdameng\.com|tendawifi\.com|brain\-power\.net|steamgamepowered\.com|sohu\.com|huawei\-cacahe\.me|chinatelecom\-h\.com|huawei\.com|youthscape\.info|sinobo\.com|chinamobile\.com|sinopec\.ad|com\.airdream|snptc\-snerdi\.com|icloud\.com|greatpower\.com|cdeledu\.net|cloudfront\.net|testingbigaccountcooldomainname\.info|cdeledu\.cc|myqcloud\.com|chinatelecomglobal\.com|itatedu\.org|shxd\-power\.com|powersite\-group\.com|mediatonic\.games|daguo\.art|chinahaoke\.cn|china\-ncdn\-nrds\.com|sinaapp\.com|citicso\.com|websitemachines\.com|tdnsv6\.com|vsassets\.io|cmbchina\.com|ippr\.net|dhcp01\.com|dnsv1\.com|huaweicloudwaf\.com|china\-putian\.com|9sys\.com|chinawayltd\.com|8y4\.nl|awesomeads\.tech|aig\-china\.com|idazoo\.com|xolift\.com|cn\.workgroup|sfdomain\.com|intranet\.sinotrans|com\.tgs\-wlan\-user|whecloud\.com|aigcardchina\.com|xn\-\-mkr821lya63v\.xn\-\-io0a7i|kayo\-poweroak\.com|nongxinyin\.xn\-\-ses554g|sohuplus\.cn|aigchinaonline\.com|ylaee\.net|techpower\.com|sau6\.com|xn\-\-vuqy5bh45fvycbsa125h\.net|dcloudstc\.com|sec\.com|tonic\-u\.com|aigchinaservices\.com|xn\-\-bnqzyq5bz03bqtz6bel30c\.xn\-\-io0a7i|co\.uk|china\-cdn\-net\.com|avicil\.com|aigchina\.com|enseval\.com|gov\.my|admin\.totolink|tbtx\-inc\.net|corpnet\.asus|airguilingroup\.net|myhuaweicloud\.com|estudychinese\.net|miiee\.net|onewocloud\.cn|empower6\.com|cndevmode\.action|xn\-\-vuqy5b6z6k\.net|10086\.cn|cdel\.net|thusem\.org|xinhuahos\.com|com\.dxhzx|watts\.corp|sina\.cn|com\.blinkap|estudychinese\.org|glbus\.net|com\.router|wjgslb\.com|chinaman\.cc|sagames\.com|fornitebattleroyale\.com|sinaimg\.cn|jxt\-china\.com|aigchinasupport\.com|tdd\.la|highpower\.com|com\.cflogin|com\.tw|baidu360qqo\.com|paddypower\.it|toufu321\.com|ght\.com|casinoservices\.io|www\.hngoldenspring|comfavicon\.ico|qiniudns\.com|homearch\.store|sinaedge\.com|1baidu\.com|cnedu\.net|chinaccs\.com|aljchina\.com|smgtech\.net|bbwdjw\.cn|pkucc\.cf|xn\-\-ruqr73cqme32ql0hovx\.net|datorama\.io|jjy\.com|rtyu66\.cn|battle\-cars\.com|yunduncdn\.com|decentraland\.org|uestc\.cn|transmedchina\.com|shuzidao\.net|czptzy\.top|empower3\.com|septwolves\.com|gdsn\.com|chinayasha\.com|avic\.com|gz\-spi\.com|china\.xtep|testingbigaccountcooldomainname5\.info|arrival\.co|chinabihai\.com|abchinalife\.com|napoleoncasino\.be|com\.wifi|braintree\.tools|ftabchina\.com|pricelessspecials\.nl|erty35\.cn|polygon\.technology|iat\-guest\.com|meralcopowergen\.com|aigcredit\-china\.com|south\.am|ikarem\.io|xxit\.asia|xn\-\-fiq1px5rlkpgnktzt\.xn\-\-55qx5d|youxunpan\.net|com\.ralinkap|qf2002\.net|qywt\.net|iyu\-china\.com|xn\-\-vuqy5b910av5l2r3c\.xn\-\-ses554g|aigcreditchina\.com|xn\-\-tnqy50b\.net|cscecpower\.com|jufel\.net|homearch\.vip|homearch\.shop|com\.tendaap|com\.gaokeap|coolshow\.net|liyupower\.com|teamviewer\.com)$'
OR domain regexp 'recommend_list\.baidu\.com|accounts\.google\.com\.|ada\.baidu\.com\.|adservice\.google\.com\.|afd\.baidu\.com\.|afdconf\.baidu\.com\.|ajax-googleapis\.|als\.baidu\.com\.|\.aspmx\.l\.google\.com\.|-safebrowsing\.google\.com\.|android\.clients\.google\.com\.|android-safebrowsing\.google\.com\.|\.map\.baidu\.com\.|\.tuisong\.baidu\.com|appc\.baidu\.com\.|appnavi\.baidu\.com\.|aspmx2\.googlemail\.com|aspmx3\.googlemail\.com|aspmx4\.googlemail\.com|aspmx5\.googlemail\.com|audiolc\.baidu\.com\.|bdbus-turbonet\.baidu\.com\.|browserkernel\.baidu\.com\.|bwww1\.baidu\.com\.|bwww2\.baidu\.com\.|bwww3\.baidu\.com\.|bwww4\.baidu\.com\.|bwww5\.baidu\.com\.|clients1\.google\.com\.|clients2\.google\.com\.|clients3\.google\.com\.|clients4\.google\.com\.|clients5\.google\.com\.|clients6\.google\.com\.|collector\.dcdn\.baidu\.com\.|lcs\.baidu\.com\.|dns\.google\.com\.|f7\.baidu\.com\.|gimg1\.baidu\.com\.|gimg2\.baidu\.com\.|gimg3\.baidu\.com\.|gimg4\.baidu\.com\.|gimg5\.baidu\.com\.|h2mbd\.baidu\.com\.|hm\.baidu\.com\.|hmma\.baidu\.com\.|hy\.baidu\.com\.|mb\.baidu\.com\.|mdb\.baidu\.com\.|mime\.baidu\.com\.|sg\.baidu\.com\.|ttl\.baidu\.com\.|zc\.baidu\.com\.|hector\.baidu\.com\.|hectorstatic\.baidu\.com\.|hijack\.baidu\.com\.|minipro\.baidu\.com\.|yuedu\.baidu\.com\.|mobads\.baidu\.com\.|mobsec-sec\.baidu\.com\.|mtalk\.google\.com\.|\.ubs\.baidu\.com\.|nsclick\.baidu\.com\.|\.googledomains\.com|openapi\.baidu\.com\.|openrcv\.baidu\.com\.|ossapi\.baidu\.com\.|p\.gdown\.baidu\.com\.|paimgcdn-feed\.baidu\.|pics0\.baidu\.com\.|pics1\.baidu\.com\.|pics2\.baidu\.com\.|pics3\.baidu\.com\.|pics4\.baidu\.com\.|pics5\.baidu\.com\.|pics6\.baidu\.com\.|pics7\.baidu\.com\.|pim\.baidu\.com\.|pimlog\.baidu\.com\.|pn\.baidu\.com\.|pos\.baidu\.com\.|publish-pic-cpu\.baidu\.com\.|pushbos\.baidu\.com\.|sofire\.baidu\.com\.|sptbjct\.baidu\.com\.|spthzct\.baidu\.com\.|sptnj\.baidu\.com\.|sptnjct\.baidu\.com\.|srfsug\.baidu\.com\.|stat\.client\.baidu\.com\.|suggestqueries\.google\.com\.|supl\.google\.com\.|tcbox\.baidu\.com\.|techain\.baidu\.com\.|tiebapic\.baidu\.com\.|tracker\.dcdn\.baidu\.com\.|udpolimenew\.baidu\.com\.|udpolimeok\.baidu\.com\.|update\.client\.baidu\.com\.|update\.pan\.baidu\.com\.|userident\.baidu\.com\.|vivosec\.baidu\.com\.|wangpan\.lcs\.baidu\.com\.|wenda5242\.baidu\.com\.|zhitong-castor-dev\.baidu\.com\.|www\.baidu\.com\.|www\.google\.com\.'
)</t>
  </si>
  <si>
    <t>application_1751683746773_96535</t>
  </si>
  <si>
    <t>ati-pdns-cache-job</t>
  </si>
  <si>
    <t>数据接入过滤模块</t>
  </si>
  <si>
    <t>图数据库-dns信息更新</t>
  </si>
  <si>
    <t>6 1 * * *</t>
  </si>
  <si>
    <t>1hrs, 12mins, 11sec</t>
  </si>
  <si>
    <t>http://code.sangfor.org/SRI/SCIA/FRAME/assembly-workshop/blob/master/default/ati-pdns-cache-job/app-cfg/ShenZhen-default/config.json</t>
  </si>
  <si>
    <t>SELECT key AS domain FROM csc.ods_csc_ioc_vertex WHERE graph_type='Domain' AND day in {days} AND data_source NOT IN ('pdns','ngaf_dns','sip_dns') GROUP BY key</t>
  </si>
  <si>
    <t>application_1751683746773_96661</t>
  </si>
  <si>
    <t>*attack-ip-analysis-cronjob</t>
  </si>
  <si>
    <t xml:space="preserve"> attack_ip_wiki_related_analysis</t>
  </si>
  <si>
    <t>攻击者IP情报生产</t>
  </si>
  <si>
    <t>30 3 * * *</t>
  </si>
  <si>
    <t>13mins, 58sec</t>
  </si>
  <si>
    <t>http://code.sangfor.org/SRI/SCIA/TIBAE/attack-ip-analysis-cronjob/blob/master/app-sdk/soapa-sangfor-lib/python/attack_ip_wiki_related_analysis/filter_log/constant.py</t>
  </si>
  <si>
    <t xml:space="preserve">SELECT 
    "{log_name}" as table_name,
    concat_ws('-',cast(threatclass as String),
            cast(threattype as String),
            cast(threatsubtype as String)) AS attack_type,
    log_num as attack_count,
    manage as device_id,
    reqruleid as sid,
    srcip,
    requesthead,
    requestbody,
    day
FROM sodl.network_security_log
WHERE day={day_date}
AND (length(requesthead) + length(requestbody)) &gt; {result_min_len}
AND regexp_extract(srcip, "{ip_re}", 1) = ""
AND (requesthead != "" OR requestbody != "")
AND (regexp_extract(requesthead, "[^a-zA-Z]({filter_word})[^a-zA-Z0-9)_;,|]") != ""
    OR
    regexp_extract(requestbody, "[^a-zA-Z]({filter_word})[^a-zA-Z0-9)_;,|]") != "")
</t>
  </si>
  <si>
    <t xml:space="preserve">"SELECT "{log_name}" as table_name,{log_attr},day
FROM {log_table_name}
WHERE day={day_date}
AND length(urls) &gt; {result_min_len}
AND regexp_extract(attacker_ip, "{ip_re}", 1)
</t>
  </si>
  <si>
    <t xml:space="preserve"> attack_ip_af_rule_analysis</t>
  </si>
  <si>
    <t>2mins,8sec</t>
  </si>
  <si>
    <t>http://code.sangfor.org/SRI/SCIA/TIBAE/attack-ip-analysis-cronjob/blob/master/app-sdk/soapa-sangfor-lib/python/attack_ip_af_rule_analysis/filter_log/constant.py</t>
  </si>
  <si>
    <t xml:space="preserve">SELECT *
FROM
  (SELECT concat(split(ip, '\\\\.')[0] , '.', split(ip, '\\\\.')[1], '.', split(ip, '\\\\.')[2]) AS ips,
          count(1) AS num
   FROM csc.ods_csc_tim_db_intelligence_tb_ip_reputation_sync
   WHERE deleted_time=0
     AND direction='1'
     AND expire_time&gt;={run_time}
   GROUP BY concat(split(ip, '\\\\.')[0] , '.', split(ip, '\\\\.')[1], '.', split(ip, '\\\\.')[2])) black_ip
WHERE num&gt;={segment_num}
  AND ips NOT IN
    (SELECT str1
     FROM default.ods_custom_upload_data
     WHERE part1='attack_ip_analysis'
       AND part2='attack_ip_filter' )
</t>
  </si>
  <si>
    <t>39mins, 23sec</t>
  </si>
  <si>
    <t xml:space="preserve">SELECT *
FROM
  (SELECT concat(split(ip, '\\\\.')[0] , '.', split(ip, '\\\\.')[1], '.', split(ip, '\\\\.')[2]) AS ips,
          count(1) AS num
   FROM csc.ods_csc_tim_db_intelligence_tb_ip_reputation_sync
   WHERE deleted_time=0
     AND direction='1'
     AND expire_time&lt;{run_time}
   GROUP BY concat(split(ip, '\\\\.')[0] , '.', split(ip, '\\\\.')[1], '.', split(ip, '\\\\.')[2])) black_ip
WHERE num&gt;={segment_num}
  AND ips NOT IN
    (SELECT str1
     FROM default.ods_custom_upload_data
     WHERE part1='attack_ip_analysis'
       AND part2='attack_ip_filter' )
</t>
  </si>
  <si>
    <t>3mins，42sec</t>
  </si>
  <si>
    <t xml:space="preserve">WITH {log_type} AS
  (SELECT srcip,
          log_num,
          concat_ws('-',cast(threatclass as String), 
            cast(threattype as String), 
            cast(threatsubtype as String)) AS attack_type,
          manage,
          reqruleid,
          regexp_extract(rulename,'((cve-\\\\d+-\\\\d+)|(CVE-\\\\d+-\\\\d+)|(cnnvd-\\\\d+-\\\\d+)|(CNNVD-\\\\d+-\\\\d+))') AS bug_id,
          producttype,
          severity
   FROM sodl.network_security_log
   WHERE DAY={day}
     AND concat_ws('-',cast(threatclass as String), 
            cast(threattype as String), 
            cast(threatsubtype as String)) NOT IN ({exclude_type_list})
     AND manage NOT IN
       (SELECT str1
        FROM default.ods_custom_upload_data
        WHERE part1='af_test_device_id' 
        AND part2='attack_ip_analysis')
     AND regexp_extract(srcip,'{private_network_pattren}') = ''
     AND regexp_extract(srcip,'{ipv4_pattren}') != ''
     {low_trusted_filter}),
     trusted_sid_stat AS
  (SELECT srcip,
          count(distinct(reqruleid)) AS trusted_rule_count
   FROM {log_type}
   WHERE reqruleid IN
       (SELECT str1
        FROM default.ods_custom_upload_data
        WHERE part1='af_rule_id' 
          AND (part2='high_trusted_ips_id' OR part2='high_trusted_waf_id'))
   GROUP BY srcip),
   {tag_stats},
     log_stat AS
  (SELECT s.*,
        coalesce(trusted_sid_stat.trusted_rule_count, 0) AS trusted_rule_count,
        std.attack_std,
        bug_id_stat.bug_sum AS bug_sum,
        attack_type_stat.attack_type_sum AS attack_type_sum
   FROM (SELECT srcip,
              count(distinct(reqruleid)) AS rule_count,
              sum(if(log_num=0, 1, log_num)) AS attack_count,
              count(distinct(manage)) AS devid_count,
              collect_set(reqruleid) AS rule_id_list,
              collect_set(producttype) AS source_list,
              avg(severity) as avg_severity
        FROM {log_type}
        GROUP BY srcip) s
   LEFT JOIN trusted_sid_stat ON s.srcip = trusted_sid_stat.srcip
   LEFT JOIN attack_type_stat ON s.srcip = attack_type_stat.srcip
   LEFT JOIN bug_id_stat ON s.srcip = bug_id_stat.srcip
   LEFT JOIN
      (SELECT srcip,
              collect_list(reqruleid || '@' || attack_std) AS attack_std
       FROM
         (SELECT srcip,
                 reqruleid,
                 cast(stddev_pop(attack_count) AS string) AS attack_std
          FROM
            (SELECT srcip,
                    reqruleid,
                    manage,
                    sum(if(log_num=0, 1, log_num)) AS attack_count
             FROM {log_type}
             GROUP BY srcip,
                      reqruleid,
                      manage) a
          GROUP BY srcip,
                   reqruleid) b
       GROUP BY srcip)std ON s.srcip = std.srcip)
SELECT '{log_type}' AS table_name,
        srcip,
        trusted_rule_count,
        rule_count,
        attack_count,
        devid_count,
        rule_id_list,
        attack_std,
        bug_sum,
        attack_type_sum,
        source_list,
        avg_severity
FROM log_stat
</t>
  </si>
  <si>
    <t>2mins，19sec</t>
  </si>
  <si>
    <t xml:space="preserve">WITH black_ips AS
  (SELECT concat(split(ip, '\\\\.')[0] , '.', split(ip, '\\\\.')[1], '.', split(ip, '\\\\.')[2]) AS ips,
          count(1) AS num
   FROM csc.ods_csc_tim_db_intelligence_tb_ip_reputation_sync
   WHERE deleted_time=0
     AND direction='1'
     AND expire_time&gt;={run_time}
   GROUP BY concat(split(ip, '\\\\.')[0] , '.', split(ip, '\\\\.')[1], '.', split(ip, '\\\\.')[2]))
SELECT ip
FROM csc.ods_csc_tim_db_intelligence_tb_ip_reputation_sync
WHERE deleted_time=0
  AND direction='1'
  AND expire_time&lt;{run_time}
  AND concat(split(ip, '\\\\.')[0] , '.', split(ip, '\\\\.')[1], '.', split(ip, '\\\\.')[2]) IN
    (SELECT ips
     FROM black_ips
     WHERE num&gt;={segment_num})
  AND concat(split(ip, '\\\\.')[0] , '.', split(ip, '\\\\.')[1], '.', split(ip, '\\\\.')[2]) NOT IN
    (SELECT str1
     FROM default.ods_custom_upload_data
     WHERE part1='attack_ip_analysis'
       AND part2='attack_ip_filter')
</t>
  </si>
  <si>
    <t>attack_ip_af_skyeye_analysis</t>
  </si>
  <si>
    <t>7mins, 22sec</t>
  </si>
  <si>
    <t>http://code.sangfor.org/SRI/SCIA/TIBAE/attack-ip-analysis-cronjob/blob/master/app-sdk/soapa-sangfor-lib/python/attack_ip_af_skyeye_analysis/filter_log/constant.py</t>
  </si>
  <si>
    <t xml:space="preserve">WITH {log_type} AS
  (SELECT srcip,
          log_num,
          concat_ws('-',cast(threatclass as String), 
            cast(threattype as String), 
            cast(threatsubtype as String)) AS attack_type,
          manage,
          reqruleid,
          regexp_extract(rulename,'((cve-\\\\d+-\\\\d+)|(CVE-\\\\d+-\\\\d+)|(cnnvd-\\\\d+-\\\\d+)|(CNNVD-\\\\d+-\\\\d+))') AS bug_id
   FROM sodl.network_security_log
   WHERE DAY={day}
     AND concat_ws('-',cast(threatclass as String), 
            cast(threattype as String), 
            cast(threatsubtype as String)) NOT IN ({exclude_type_list})
     AND manage NOT IN
       (SELECT str1
        FROM default.ods_custom_upload_data
        WHERE part1='af_test_device_id'
          AND part2='attack_ip_analysis')
     AND regexp_extract(srcip,'{ip_re}') = ''
     AND regexp_extract(srcip,'{ipv4_re}') != ''
     AND cast(reqruleid AS string) NOT IN
       (SELECT str1
        FROM default.ods_custom_upload_data
        WHERE part1='af_rule_id' 
          AND (part2='low_trusted_ips_id' OR part2='low_trusted_waf_id'))),
     skyeye_ip AS
  (SELECT ips,
          count(1) AS num
   FROM
     (SELECT ip,
             concat(split(ip, '\\\\.')[0] , '.', split(ip, '\\\\.')[1], '.', split(ip, '\\\\.')[2]) AS ips
      FROM csc.ods_csc_tim_db_unknown_intelligence_tb_skyeye_ip_info_sync
      WHERE update_time&gt;={skyeye_update_time}
      GROUP BY ip) t
   WHERE ips NOT IN
       (SELECT str1
        FROM default.ods_custom_upload_data
        WHERE part1='attack_ip_analysis'
          AND part2='attack_ip_filter')
   GROUP BY ips),
     trusted_sid_stat AS
  (SELECT srcip,
          count(distinct(reqruleid)) AS trusted_rule_count
   FROM {log_type}
   WHERE reqruleid IN
       (SELECT str1
        FROM default.ods_custom_upload_data
        WHERE part1='af_rule_id' 
          AND (part2='high_trusted_ips_id' OR part2='high_trusted_waf_id'))
   GROUP BY srcip),
    {tag_stats},
     log_stat AS
  (SELECT s.*,
          coalesce(trusted_sid_stat.trusted_rule_count, 0) AS trusted_rule_count,
          bug_id_stat.bug_sum AS bug_sum,
          attack_type_stat.attack_type_sum AS attack_type_sum
   FROM
     (SELECT srcip,
             count(distinct(reqruleid)) AS rule_count,
             sum(if(log_num=0, 1, log_num)) AS attack_count,
             count(distinct(manage)) AS devid_count,
             collect_set(distinct(reqruleid)) AS rule_id_list
      FROM {log_type}
      GROUP BY srcip) s
   LEFT JOIN trusted_sid_stat ON s.srcip = trusted_sid_stat.srcip
   LEFT JOIN attack_type_stat ON s.srcip = attack_type_stat.srcip
   LEFT JOIN bug_id_stat ON s.srcip = bug_id_stat.srcip)
SELECT *
FROM log_stat
WHERE concat(split(srcip, '\\\\.')[0] , '.', split(srcip, '\\\\.')[1], '.', split(srcip, '\\\\.')[2]) IN
    (SELECT ips
     FROM skyeye_ip
     WHERE num&gt;={skyeye_high_num})
  OR (concat(split(srcip, '\\\\.')[0] , '.', split(srcip, '\\\\.')[1], '.', split(srcip, '\\\\.')[2]) IN
        (SELECT ips
         FROM skyeye_ip
         WHERE num&gt;={skyeye_num})
      AND trusted_rule_count &gt; 0)
  OR (srcip IN
        (SELECT ip
         FROM csc.ods_csc_tim_db_unknown_intelligence_tb_skyeye_ip_info_sync
         WHERE update_time&gt;={skyeye_update_time})
      AND trusted_rule_count &gt; 0)
</t>
  </si>
  <si>
    <t>attack_ip_seclog_analysis</t>
  </si>
  <si>
    <t>http://code.sangfor.org/SRI/SCIA/TIBAE/attack-ip-analysis-cronjob/blob/master/app-sdk/soapa-sangfor-lib/python/attack_ip_seclog_analysis/filter_log/constant.py</t>
  </si>
  <si>
    <t xml:space="preserve">WITH {log_type} AS
  (SELECT srcip,
          log_num,
          concat_ws('-',cast(threatclass as String),
            cast(threattype as String),
            cast(threatsubtype as String)) AS attack_type,
          manage,
          reqruleid,
          regexp_extract(rulename,
          '((cve-\\\\d+-\\\\d+)|(CVE-\\\\d+-\\\\d+)|(cnnvd-\\\\d+-\\\\d+)|(CNNVD-\\\\d+-\\\\d+))') AS bug_id,
          producttype
   FROM sodl.network_security_log
   WHERE DAY={day}
     AND manage NOT IN
       (SELECT str1
        FROM default.ods_custom_upload_data
        WHERE part1='af_test_device_id'
        AND part2='attack_ip_analysis')
        ),
   {tag_stats},
   keyword_stat AS (
      SELECT srcip, collect_set(keyword) AS hit_keywords
    FROM (
      SELECT srcip, keyword
      FROM (
        SELECT srcip, regexp_extract(requesthead, '{rce_keyword_match_sql}', 0) AS keyword
        FROM sodl.network_security_log
        where day={day}
        UNION
        SELECT srcip, regexp_extract(url, '{rce_keyword_match_sql}', 0) AS keyword
        FROM sodl.network_security_log
        where day={day}
      ) t
      WHERE keyword != ''
    ) t2
    GROUP BY srcip
   ),
     rce_stat AS
  (
     select keyword_stat.srcip, keyword_stat.hit_keywords, bug_id_stat.bug_sum, rule_id_stat.reqruleid_sum,
     attack_type_stat.attack_type_sum from keyword_stat
     left join bug_id_stat on keyword_stat.srcip = bug_id_stat.srcip
     left join rule_id_stat on keyword_stat.srcip = rule_id_stat.srcip
     left join attack_type_stat on keyword_stat.srcip = attack_type_stat.srcip
    )
SELECT '{log_type}' AS table_name,
        srcip,
        hit_keywords,
        bug_sum,
        reqruleid_sum,
        attack_type_sum
FROM rce_stat
where regexp_extract(srcip,'{private_network_pattren}') = ''
     AND regexp_extract(srcip,'{ipv4_pattren}') !=
</t>
  </si>
  <si>
    <t xml:space="preserve">WITH {log_type} AS
  (SELECT srcip,
          log_num,
          concat_ws('-',cast(threatclass as String),
            cast(threattype as String),
            cast(threatsubtype as String)) AS attack_type,
          manage,
          reqruleid,
          regexp_extract(rulename,
          '((cve-\\\\d+-\\\\d+)|(CVE-\\\\d+-\\\\d+)|(cnnvd-\\\\d+-\\\\d+)|(CNNVD-\\\\d+-\\\\d+))') AS bug_id,
          regexp_extract(lower(requesthead), '(?&lt;=user-agent: ).*?(?=\r\n)', 0) as user_agent
   FROM sodl.network_security_log
   WHERE DAY={day}
    and requesthead != ''
    and regexp_extract(srcip,'{private_network_pattren}') = ''
     AND regexp_extract(srcip,'{ipv4_pattren}') != ''
     AND manage NOT IN
       (SELECT str1
        FROM default.ods_custom_upload_data
        WHERE part1='af_test_device_id'
        AND part2='attack_ip_analysis')
        ),
    {tag_stats},
   ua_hit_record as 
   (
    select srcip, collect_set(mal_ua) AS hit_mal_ua
    from (
     SELECT srcip, regexp_extract(user_agent, '{mal_ua_keyword_match_sql}', 0)
     AS mal_ua   
     FROM {log_type}
     where user_agent != '') ua_agg
     where mal_ua != ''
     group by srcip
   ),
   ua_stat as (
     select ua_hit_record.srcip, ua_hit_record.hit_mal_ua, bug_id_stat.bug_sum, rule_id_stat.reqruleid_sum,
     attack_type_stat.attack_type_sum from ua_hit_record
     left join bug_id_stat on ua_hit_record.srcip = bug_id_stat.srcip
     left join rule_id_stat on ua_hit_record.srcip = rule_id_stat.srcip
     left join attack_type_stat on ua_hit_record.srcip = attack_type_stat.srcip
   )
     SELECT '{log_type}' AS table_name,
            srcip,
            hit_mal_ua,
            bug_sum,
            reqruleid_sum,
            attack_type_sum
  FROM ua_stat  
</t>
  </si>
  <si>
    <t xml:space="preserve"> attack_ip_low_trusted_analysis</t>
  </si>
  <si>
    <t>19mins, 35sec</t>
  </si>
  <si>
    <t>http://code.sangfor.org/SRI/SCIA/TIBAE/attack-ip-analysis-cronjob/blob/master/app-sdk/soapa-sangfor-lib/python/attack_ip_low_trusted_analysis/filter_log/constant.py</t>
  </si>
  <si>
    <t>low_attack_type_ip_analysis</t>
  </si>
  <si>
    <t>http://code.sangfor.org/SRI/SCIA/TIBAE/attack-ip-analysis-cronjob/blob/master/app-sdk/soapa-sangfor-lib/python/low_attack_type_ip_analysis/filter_log/constant.py</t>
  </si>
  <si>
    <t xml:space="preserve">WITH {log_type} AS
  (SELECT srcip,
          log_num,
          concat_ws('-',cast(threatclass as String), 
            cast(threattype as String), 
            cast(threatsubtype as String)) AS attack_type,
          manage,
          reqruleid,
          regexp_extract(rulename,'((cve-\\\\d+-\\\\d+)|(CVE-\\\\d+-\\\\d+)|(cnnvd-\\\\d+-\\\\d+)|(CNNVD-\\\\d+-\\\\d+))') AS bug_id,
          producttype,
          severity,
          action
   FROM sodl.network_security_log
   WHERE DAY={day}
     AND concat_ws('-',cast(threatclass as String), 
            cast(threattype as String), 
            cast(threatsubtype as String)) IN ('90-5-1', '90-5-2')
     AND manage NOT IN
       (SELECT str1
        FROM default.ods_custom_upload_data
        WHERE part1='af_test_device_id' 
        AND part2='attack_ip_analysis')
     AND regexp_extract(srcip,'{private_network_pattren}') = ''
     AND regexp_extract(srcip,'{ipv4_pattren}') != ''
     ),
     trusted_sid_stat AS
  (SELECT srcip,
          count(distinct(reqruleid)) AS trusted_rule_count
   FROM {log_type}
   WHERE reqruleid IN
       (SELECT str1
        FROM default.ods_custom_upload_data
        WHERE part1='af_rule_id' 
          AND (part2='high_trusted_ips_id' OR part2='high_trusted_waf_id'))
   GROUP BY srcip),
   {tag_stats},
     log_stat AS
  (SELECT s.*,
        coalesce(trusted_sid_stat.trusted_rule_count, 0) AS trusted_rule_count,
        std.attack_std,
        bug_id_stat.bug_sum AS bug_sum,
        attack_type_stat.attack_type_sum AS attack_type_sum
   FROM (SELECT srcip,
              count(distinct(reqruleid)) AS rule_count,
              sum(if(log_num=0, 1, log_num)) AS attack_count,
              count(distinct(manage)) AS devid_count,
              collect_set(reqruleid) AS rule_id_list,
              collect_set(producttype) AS source_list,
              avg(severity) as avg_severity,
              collect_set(action) as action_list
        FROM {log_type}
        GROUP BY srcip) s
   LEFT JOIN trusted_sid_stat ON s.srcip = trusted_sid_stat.srcip
   LEFT JOIN attack_type_stat ON s.srcip = attack_type_stat.srcip
   LEFT JOIN bug_id_stat ON s.srcip = bug_id_stat.srcip
   LEFT JOIN
      (SELECT srcip,
              collect_list(reqruleid || '@' || attack_std) AS attack_std
       FROM
         (SELECT srcip,
                 reqruleid,
                 cast(stddev_pop(attack_count) AS string) AS attack_std
          FROM
            (SELECT srcip,
                    reqruleid,
                    manage,
                    sum(if(log_num=0, 1, log_num)) AS attack_count
             FROM {log_type}
             GROUP BY srcip,
                      reqruleid,
                      manage) a
          GROUP BY srcip,
                   reqruleid) b
       GROUP BY srcip)std ON s.srcip = std.srcip)
SELECT '{log_type}' AS log_type,
        srcip as ip,
        trusted_rule_count,
        rule_count,
        attack_count,
        devid_count,
        rule_id_list,
        attack_std,
        bug_sum as bug_id_agg,
        attack_type_sum as attack_type_agg,
        source_list,
        avg_severity,
        action_list
FROM log_stat
</t>
  </si>
  <si>
    <t>3mins,34sec</t>
  </si>
  <si>
    <t xml:space="preserve">select 
  '{log_type}' as log_type,
  srcip as ip,
  count(distinct pwd) as pwd_num,
  collect_set(pwd) as pwd_list
from
(
  SELECT 
    srcip, 
    regexp_extract(requesthead, '(pwd|password)=([^&amp;; ]+)', 2) as pwd
  FROM sodl.network_security_log
  WHERE day={day}
    AND regexp_extract(srcip,'{private_network_pattren}') = ''
    AND regexp_extract(srcip,'{ipv4_pattren}') != ''
    AND concat_ws('-',cast(threatclass as String),
                        cast(threattype as String)) in ('94-4')
    and regexp_extract(requesthead, '(pwd|password)=([^&amp;; ]+)', 2) != '' 
  union
  SELECT 
    srcip, 
    regexp_extract(requestbody, '(pwd|password)=([^&amp;; ]+)', 2)  as pwd
  FROM sodl.network_security_log
  WHERE day={day}
    AND regexp_extract(srcip,'{private_network_pattren}') = ''
    AND regexp_extract(srcip,'{ipv4_pattren}') != ''
    AND concat_ws('-',cast(threatclass as String),
                        cast(threattype as String)) in ('94-4')
    and regexp_extract(requestbody, '(pwd|password)=([^&amp;; ]+)', 2) != ''
)a
group by srcip
</t>
  </si>
  <si>
    <t xml:space="preserve">*top-visit-host-produce-job </t>
  </si>
  <si>
    <t>DNS_LOG_STAT_SQL</t>
  </si>
  <si>
    <t>云情报网关-过滤包生产</t>
  </si>
  <si>
    <t>5 3 * * *</t>
  </si>
  <si>
    <t>	1hrs, 24mins, 18sec</t>
  </si>
  <si>
    <t>http://code.sangfor.org/SRI/SCIA/CIPD/BDPD/top-visit-host-produce-job/blob/master/app-sdk/soapa-sangfor-lib/python/data_etl/log_stat_sql.py</t>
  </si>
  <si>
    <t xml:space="preserve">SELECT queries as domain,
       sum(log_num) AS num
FROM sodl.dns_log
WHERE day = :date 
  AND producttype in ('AF', 'NGAF', 'VNGAF')
  AND qr=0
  AND length(queries) &gt; 3
  AND locate('.', queries) != 0
GROUP BY queries
</t>
  </si>
  <si>
    <t>application_1751683746773_96893</t>
  </si>
  <si>
    <t>DNS_LOG_STAT_SQL_BY_DEVICE</t>
  </si>
  <si>
    <t>50mins, 18sec</t>
  </si>
  <si>
    <t>SELECT queries as domain,
       sum(log_num) AS num
FROM sodl.dns_log
WHERE day = :date 
  AND producttype in ('AF', 'NGAF', 'VNGAF')
  AND qr=0
  AND length(queries) &gt; 3
  AND locate('.', queries) != 0
  AND manage in  %(devices)s
GROUP BY queries</t>
  </si>
  <si>
    <t>IP_LOG_STAT_SQL</t>
  </si>
  <si>
    <t xml:space="preserve">with ip_stat as (
SELECT concat(split(ip, '\\\\.')[0], '.', split(ip, '\\\\.')[1], '.', split(ip, '\\\\.')[2]) AS c_segment
FROM
    (SELECT get_json_object(replace(str4, '\\\\', ''), '$[*].ip') AS ip_list
      FROM default.log_audit_source
      WHERE day = :date
        AND log_app_id='ip-proxy-svc'
        AND module_id='ip-proxy-svc'
        AND str1='NGAF'
        AND str5='[cf]') s 
   LATERAL VIEW explode(split(regexp_replace(ip_list, '\\\\[|\\\\]|\\"', ''), ',')) exploded_table AS ip
   WHERE locate('.', ip) != 0 
)
SELECT c_segment as ip,
       count(1) as num
FROM ip_stat
GROUP BY c_segment
LIMIT 500000
</t>
  </si>
  <si>
    <t>IP_LOG_STAT_SQL_BY_DEVICE</t>
  </si>
  <si>
    <t xml:space="preserve">SELECT c_segment as ip,
       count(1) as num
FROM
  (SELECT concat(split(ip, '\\\\.')[0], '.', split(ip, '\\\\.')[1], '.', split(ip, '\\\\.')[2]) AS c_segment
   FROM
     (SELECT get_json_object(replace(str4, '\\\\', ''), '$[*].ip') AS ip_list
      FROM default.log_audit_source
      WHERE day = :date
        AND log_app_id='ip-proxy-svc'
        AND module_id='ip-proxy-svc'
        AND str1='NGAF'
        AND str5 = '[cf]'
        AND str2 in %(devices)s ) s 
   LATERAL VIEW explode(split(regexp_replace(ip_list, '\\\\[|\\\\]|\\"', ''), ',')) exploded_table AS ip
   WHERE locate('.', ip) != 0 ) t
GROUP BY c_segment
LIMIT 500000
</t>
  </si>
  <si>
    <t>URL_LOG_STAT_SQL</t>
  </si>
  <si>
    <t>27mins, 24sec</t>
  </si>
  <si>
    <t xml:space="preserve">SELECT host,
       sum(log_num) AS num
FROM sodl.url_log
WHERE day = :date
  AND host is not null
  AND locate('.', host)  != 0
  AND producttype in ('AF', 'NGAF', 'VNGAF')
GROUP BY host
</t>
  </si>
  <si>
    <t>URL_LOG_STAT_SQL_BY_DEVICE</t>
  </si>
  <si>
    <t xml:space="preserve">SELECT host,
       sum(log_num) AS num
FROM sodl.url_log
WHERE day = :date
  AND host is not null
  AND locate('.', host)  != 0
  AND manage in  %(devices)s
  AND producttype in ('AF', 'NGAF', 'VNGAF')
GROUP BY host
</t>
  </si>
  <si>
    <t>domain-hit-devnum-cronjob</t>
  </si>
  <si>
    <t>hive_sql</t>
  </si>
  <si>
    <t>域名情报生产-降误报</t>
  </si>
  <si>
    <t>0 9 * * *</t>
  </si>
  <si>
    <t>59mins, 10sec</t>
  </si>
  <si>
    <t>http://code.sangfor.org/SRI/SCIA/ATI/IOC-PRODUCT/domain-hit-devnum-cronjob/blob/master/unittest/data/app_cfg.json</t>
  </si>
  <si>
    <t>SELECT DOMAIN,devnum,total_times FROM (SELECT DOMAIN,COUNT(DISTINCT devid) AS devnum,COUNT(devid) as total_times FROM default.dwb_domain_info WHERE DAY&gt;=20250728 and DAY&lt;=20250827 AND devid NOT IN (SELECT str1 AS dev FROM ods_custom_upload_data WHERE part1='test_dev' AND part2='test_devid') GROUP BY DOMAIN) subquery WHERE devnum &gt; 10 LIMIT 15000000</t>
  </si>
  <si>
    <t>application_1751683746773_97462</t>
  </si>
  <si>
    <t>filter-layout-ip-seg-stat-prc</t>
  </si>
  <si>
    <t>云情报网关-C段过滤</t>
  </si>
  <si>
    <t>2hrs, 19mins, 36sec</t>
  </si>
  <si>
    <t>http://code.sangfor.org/SRI/SCIA/CIPD/IP/filter-layout-ip-seg-stat-prc</t>
  </si>
  <si>
    <t xml:space="preserve">WITH rpt AS (   SELECT DISTINCT regexp_extract(ip, '^(\\d+\\.\\d+\\.\\d+)\\.', 1) AS ip_seg
      FROM csc.ods_csc_tim_db_intelligence_tb_ip_reputation_sync
      WHERE direction='2' AND reputation='0'
    ),
    resp_data AS (
      SELECT DAY AS date_day,
             split(get_json_object(resp, '$.ip'), ':')[0] AS ip,
             regexp_extract(split(get_json_object(resp, '$.ip'), ':')[0], '^(\\d+\\.\\d+\\.\\d+)\\.', 1) AS ip_c_seg
      FROM csc.ods_csc_log_audit LATERAL VIEW explode(split(replace(regexp_replace(regexp_replace(regexp_replace(str10,'^\\[',''),'~\\]',''),'\\}\,\\{','\\}\;\\{'),'\\"','"'), ';')) exploded_table AS resp
      WHERE app_id='ip-proxy-svc' AND DAY BETWEEN :day_min AND :day_max
        AND module_id='ip-proxy-svc' AND str5 RLIKE 'cf'
        AND get_json_object(resp, '$.threat.reputation')='2'
        AND get_json_object(resp, '$.threat.direction')='2'
    ),
    agg_data AS (
      SELECT ip_c_seg,
             count(DISTINCT date_day) AS day_unique,
             count(DISTINCT ip) AS ip_unique,
             count(*)/(count(DISTINCT date_day)+1) AS total
      FROM resp_data
      GROUP BY ip_c_seg
    )
    SELECT ip_c_seg, day_unique, ip_unique, total
    FROM agg_data
    WHERE day_unique &gt;= :day_unique
      AND NOT EXISTS (SELECT 1 FROM rpt WHERE rpt.ip_seg = agg_data.ip_c_seg)
</t>
  </si>
  <si>
    <t>application_1751683746773_96909</t>
  </si>
  <si>
    <t>svd-activity-stat-job</t>
  </si>
  <si>
    <t>通过设备上报日志统计漏洞及规则的活跃度</t>
  </si>
  <si>
    <t>14 2 * * *</t>
  </si>
  <si>
    <t>http://code.sangfor.org/SRI/SCIA/vuln/svd-activity-stat-job/blob/master/app-sdk/soapa-sangfor-lib/python/rule_activity_statistics/config.py</t>
  </si>
  <si>
    <t>SELECT reqruleid AS hole_id,
day,
sum(log_num)
FROM sodl.network_security_log
WHERE day &gt;= '20250826'
AND day &lt; '20250827'
AND producttype IN ('NGAF',
'AF')
AND threatclass IN (30,
90)
AND reqruleid != '0'
AND reqruleid IS NOT NULL
AND reqruleid != ""
GROUP BY reqruleid,
day</t>
  </si>
  <si>
    <t>application_1751683746773_96769</t>
  </si>
  <si>
    <t>black-file-clean-cronjob</t>
  </si>
  <si>
    <t>黑文件去误报</t>
  </si>
  <si>
    <t>1 3 * * *</t>
  </si>
  <si>
    <t>http://code.sangfor.org/SRI/SCIA/FCC/black-file-clean-cronjob/blob/master/cron-job/black_file_clean/statistic.py</t>
  </si>
  <si>
    <t>SELECT DISTINCT lower(md5)
FROM default.dwb_md5_info
WHERE day=20250826
AND src_log='log_audit'
AND attr='0'
AND length(md5)=32
UNION
SELECT DISTINCT lower(filehash)
FROM sodl.dwb_sodl_md5_info
WHERE day=20250826
AND producttype='EDR'
AND src_log='endpoint_security_log'
AND threatclass=209
AND threattype!=13 -- 13-&gt;botnet
AND file_attr='0'
AND length(filehash)=32</t>
  </si>
  <si>
    <t>application_1751683746773_96884</t>
  </si>
  <si>
    <t>domain-security-log-etl-prc</t>
  </si>
  <si>
    <t>基于网络安全告警日志规则鉴定域名</t>
  </si>
  <si>
    <t>DOMAIN_SECURITY_LOG_EXTRACT_SQL</t>
  </si>
  <si>
    <t>域名情报生产-安全日志</t>
  </si>
  <si>
    <t>3mins, 47sec</t>
  </si>
  <si>
    <t>http://code.sangfor.org/SRI/SCIA/CIPD/DOMAIN/PRE/domain-security-log-etl-prc/blob/master/app-sdk/soapa-sangfor-lib/python/configs/config.py</t>
  </si>
  <si>
    <t>SELECT DOMAIN,
COLLECT_SET(producttype) AS producttype_list,
COLLECT_SET(CONCAT(CAST(threatclass AS STRING), '-', CAST(threattype AS STRING),
'-', CAST(threatsubtype AS STRING))) AS type_list,
SORT_ARRAY(COLLECT_SET(engine)) AS engine_list,
COUNT(DISTINCT engine) AS engine_num
FROM
(SELECT REGEXP_EXTRACT(url, '^(?:https?://)?(?:www\.)?([^/]+)', 1) AS DOMAIN,
*
FROM sodl.network_security_log
WHERE DAY=20250826
AND engine NOT IN ('premise_ioc', 'cloud_ioc', 'sase_ioc')
AND severity &gt; 50
AND (threatclass IN (209, 208, 216, 214, 203, 40)
OR CONCAT(CAST(threatclass AS STRING), '-', CAST(threattype AS STRING), '-',
CAST(threatsubtype AS STRING)) = '212-10-0')
AND action = 2) s
WHERE NOT (DOMAIN RLIKE '\d+\.\d+\.\d+\.\d+$' OR DOMAIN RLIKE ':')
GROUP BY DOMAIN</t>
  </si>
  <si>
    <t>application_1751683746773_97373</t>
  </si>
  <si>
    <t>INFO_EXIST_CHECK_SQL</t>
  </si>
  <si>
    <t>SELECT 1 FROM sodl.network_security_log WHERE day=:mday LIMIT 1</t>
  </si>
  <si>
    <t>cipd-product-resource-monitor-prc</t>
  </si>
  <si>
    <t>云情报网关设备数量监控</t>
  </si>
  <si>
    <t>STAT_LOG_CHECK</t>
  </si>
  <si>
    <t>云情报网关监控-设备数量</t>
  </si>
  <si>
    <t>中</t>
  </si>
  <si>
    <t>select 1 
from csc.ods_csc_log_stats
where day=:mday
and app_id = 'ip-realtime-identify-etl-prc'
limit 1</t>
  </si>
  <si>
    <t>DOMAIN_DEVICE_COUNT_STAT</t>
  </si>
  <si>
    <t>1mins, 1sec</t>
  </si>
  <si>
    <t>select str4, sum(long1)
from csc.ods_csc_log_stats
where day=:mday
and app_id = 'dns-intelligence-dispatch-prc'
and str1 = 'cig_subscribe'
and str2 = 'dl_dns_log'
group by str4</t>
  </si>
  <si>
    <t>CLOUDGATEWAY_IP_DEVICE_COUNT_STAT</t>
  </si>
  <si>
    <t>8mins, 38sec</t>
  </si>
  <si>
    <t>select str5, sum(long1)
from csc.ods_csc_log_stats
where day=:mday
and app_id = 'ip-realtime-identify-etl-prc'
and str1 = 'etl_size'
and str2 = 'kafka_poll_size'
and str3 = 'CLOUD_INTELLIGENCE_GATEWAY'
group by str5</t>
  </si>
  <si>
    <t>CLOUDCHECK_IP_DEVICE_COUNT_STAT</t>
  </si>
  <si>
    <t>4mins, 49sec</t>
  </si>
  <si>
    <t>select str5, sum(long1)
from csc.ods_csc_log_stats
where day=:mday
and app_id = 'ip-realtime-identify-etl-prc'
and str1 = 'filter_size'
and str2 = 'valid_devid'
and str3 = 'CLOUDCHECK_C2IP_CF'
group by str5</t>
  </si>
  <si>
    <t>DOMAIN_DEVICE_STAT</t>
  </si>
  <si>
    <t>6mins, 17sec</t>
  </si>
  <si>
    <t>select distinct str4
from csc.ods_csc_log_stats
where day&gt;=:sday and day&lt;=:eday
and app_id = 'dns-intelligence-dispatch-prc'
and str1 = 'cig_subscribe'
and str2 = 'dl_dns_log'</t>
  </si>
  <si>
    <t>CLOUDGATEWAY_IP_DEVICE_STAT</t>
  </si>
  <si>
    <t>16mins, 56sec</t>
  </si>
  <si>
    <t>select distinct str5
from csc.ods_csc_log_stats
where day&gt;=:sday and day&lt;=:eday
and app_id = 'ip-realtime-identify-etl-prc'
and str1 = 'etl_size'
and str2 = 'kafka_poll_size'
and str3 = 'CLOUD_INTELLIGENCE_GATEWAY'</t>
  </si>
  <si>
    <t>CLOUDCHECK_IP_DEVICE_STAT</t>
  </si>
  <si>
    <t>31mins, 24sec</t>
  </si>
  <si>
    <t>select distinct str5
from csc.ods_csc_log_stats
where day&gt;=:sday and day&lt;=:eday
and app_id = 'ip-realtime-identify-etl-prc'
and str1 = 'filter_size'
and str2 = 'valid_devid'
and str3 = 'CLOUDCHECK_C2IP_CF'</t>
  </si>
  <si>
    <t>phishing-url-operation-prc</t>
  </si>
  <si>
    <t>URL漏报自动化运营</t>
  </si>
  <si>
    <t>SIP_EMAIL_INFO_SQL</t>
  </si>
  <si>
    <t>31mins, 33sec</t>
  </si>
  <si>
    <t>SELECT distinct(url)
FROM
(SELECT get_json_object(st10, "$.url") AS url,
get_json_object(st10, "$.threat.reputation") AS reputation
FROM csc.ods_csc_log_audit LATERAL VIEW explode(default.format_json_list(replace(str10, "\\", ""))) t AS st10
WHERE app_id='url-proxy-svc'
AND str1='SIP'
AND str5='[email]'
AND DAY= '20251101' ) t
WHERE reputation=2</t>
  </si>
  <si>
    <t>SELECT 1 FROM csc.ods_csc_log_audit WHERE day=:mday LIMIT 1</t>
  </si>
  <si>
    <t>ip-security-log-etl-prc</t>
  </si>
  <si>
    <t>基于安全告警日志规则鉴定C2 IP</t>
  </si>
  <si>
    <t>C2 IP情报生产-安全日志</t>
  </si>
  <si>
    <t>1hrs, 12mins, 15sec</t>
  </si>
  <si>
    <t>select
distinct dstip
from sodl.network_security_log
where DAY=20251101
AND regexp_extract(dstip,'^((0\\.0\\.0\\.0)|(127\\.0\\.0\\.1)|(localhost)|(10\\.)|(172\\.1[6-9]\\.)|(172\\.2[0-9]\\.)|(172\\.3[0-1]\\.)|(192\\.168\\.))') = ''
AND regexp_extract(dstip,'^(\\d{1,3}\\.\\d{1,3}\\.\\d{1,3}\\.\\d{1,3})$') != ''
AND engine not in ('premise_ioc', 'cloud_ioc', 'sase_ioc')
AND severity &gt; 50
AND (threatclass in (209, 208, 216, 214,  203, 40)
or concat_ws('-',cast(threatclass as String),
cast(threattype as String),
cast(threatsubtype as String)) = '212-10-0')
limit 100000</t>
  </si>
  <si>
    <t>domain-heat-stats-cron-job</t>
  </si>
  <si>
    <t>域名热度库统计生产</t>
  </si>
  <si>
    <t>cloud_domain.sql</t>
  </si>
  <si>
    <t>GPT钓鱼联动封锁-降误报</t>
  </si>
  <si>
    <t>5 1 * * *</t>
  </si>
  <si>
    <t>1hrs, 18mins, 19sec</t>
  </si>
  <si>
    <t>WITH t AS
  (SELECT DOMAIN,
           MANAGE,
           sum(log_num) AS log_sum
   FROM sodl.dwb_sodl_domain_info
   WHERE DAY =:day_str
   AND SUBSTRING_INDEX(DOMAIN,".",-2) in ("amazonaws.com","myqcloud.com","aliyuncs.com","myhuaweicloud.com","vercel.app","netlify.app","glitch.me","edgeone.app")
   GROUP BY DOMAIN,
            MANAGE)
SELECT domain,
        sum(log_sum) AS log_cnt,
        count(DISTINCT MANAGE) AS dev_cnt
FROM t
GROUP BY domain</t>
  </si>
  <si>
    <t>second_level_domain.sql</t>
  </si>
  <si>
    <t>	1hrs, 6mins, 12sec</t>
  </si>
  <si>
    <t>WITH t AS
  (SELECT DOMAIN,
           MANAGE,
           sum(log_num) AS log_num
   FROM sodl.dwb_sodl_domain_info
   WHERE DAY =:day_str
     AND DOMAIN != ''
     AND locate(":",DOMAIN) == 0
     AND locate("_",DOMAIN) == 0
     AND locate("*",DOMAIN) == 0
     AND DOMAIN NOT rlike "[0-9]$"
     AND DOMAIN NOT rlike ".arpa$" 
   GROUP BY DOMAIN,
            MANAGE),
     t2 AS
  (SELECT SUBSTRING_INDEX(DOMAIN,".",-2) AS sld,
          sum(log_num) AS log_sum,
          count(DISTINCT MANAGE) AS dev_cnt
   FROM t
   GROUP BY SUBSTRING_INDEX(DOMAIN,".",-2))
SELECT sld AS domain,
       log_sum AS log_cnt,
       dev_cnt
FROM t2
where log_sum &gt;10</t>
  </si>
  <si>
    <t>third_level_domain.sql</t>
  </si>
  <si>
    <t>	1hrs, 18mins, 19sec</t>
  </si>
  <si>
    <t xml:space="preserve">WITH t AS
  (SELECT DOMAIN,
           MANAGE,
           sum(log_num) AS log_num
   FROM sodl.dwb_sodl_domain_info
   WHERE DAY =:day_str
   AND SUBSTRING_INDEX(DOMAIN,".",-2) in ("com.cn","org.cn")
   GROUP BY DOMAIN,
            MANAGE),
     t2 AS
  (SELECT SUBSTRING_INDEX(DOMAIN,".",-3) AS parent_domain,
          sum(log_num) AS log_sum,
          count(DISTINCT MANAGE) AS dev_cnt
   FROM t
   GROUP BY SUBSTRING_INDEX(DOMAIN,".",-3))
SELECT parent_domain AS domain,
       log_sum AS log_cnt,
       dev_cnt
FROM t2
where log_sum &gt;10
</t>
  </si>
  <si>
    <t>apt-hunting-monitor-process-job</t>
  </si>
  <si>
    <t>持续监控定时任务</t>
  </si>
  <si>
    <t>RETRO_IP_SQL</t>
  </si>
  <si>
    <t>7 5 * * *</t>
  </si>
  <si>
    <t>11mins, 40sec</t>
  </si>
  <si>
    <t xml:space="preserve">WITH apt_tbl AS
  (SELECT get_json_object(DATA, "$.source") AS SOURCE,
          get_json_object(DATA, "$.raw_ioc_type") AS raw_ioc_type,
          get_json_object(DATA, "$.related_ioc_type") AS related_ioc_type,
          get_json_object(DATA, "$.related_path") AS related_path,
          get_json_object(DATA, "$.organization_label") AS organization_label,
          get_json_object(DATA, "$.related_ioc") AS related_ioc,
          get_json_object(DATA, "$.ti_type") AS ti_type,
          get_json_object(DATA, "$.related_rule_name") AS related_rule_name,
          get_json_object(DATA, "$.raw_ioc") AS raw_ioc,
          get_json_object(DATA, "$.ioc_updater") AS ioc_updater,
          get_json_object(DATA, "$.ioc_submitter") AS ioc_submitter
   FROM csc.ods_csc_apt_hunting
   WHERE task_id=:task_id
     AND ioc_type=:ioc_type ),
     tag_device AS
  (SELECT str1 AS devid,
          str2 AS customer_type
   FROM default.ods_custom_upload_data
   WHERE part1="apt_hunting"
     AND part2="tag_device" ),
     test_device AS
  (SELECT str1 AS devid
   FROM default.ods_custom_upload_data
   WHERE part1="apt_hunting"
     AND part2="test_device" ),
     log_tbl AS
  (SELECT ioc,
          devid,
          log_day,
          collect_set(src_log) AS src_logs,
          sum(log_num) AS log_num
   FROM
     (SELECT dip AS ioc,
             devid AS devid,
             DAY AS log_day,
             src_log,
             log_num
      FROM default.dwb_ip_info LEFT SEMI
      JOIN apt_tbl ON apt_tbl.related_ioc=dwb_ip_info.dip
      WHERE DAY&gt;=:start_day
        AND DAY&lt;=:end_day
        AND extends IS NOT NULL
        AND src_log='log_audit'
        AND devid NOT IN
          (SELECT devid
           FROM test_device)
      UNION ALL SELECT dstip AS ioc,
                       MANAGE AS devid,
                       DAY AS log_day,
                       src_log,
                       log_num
      FROM sodl.dwb_sodl_ip_info LEFT SEMI
      JOIN apt_tbl ON apt_tbl.related_ioc=dwb_sodl_ip_info.dstip
      WHERE DAY&gt;=:start_day
        AND DAY&lt;=:end_day
        AND MANAGE NOT IN
          (SELECT devid
           FROM test_device) ) w1
   GROUP BY ioc,
            devid,
            log_day)
SELECT t2.raw_ioc,
       t2.raw_ioc_type,
       t2.related_ioc,
       t2.related_ioc_type,
       t2.related_rule_name,
       t2.related_path,
       t2.ti_type,
       t2.organization_label,
       t2.source,
       t2.ioc_updater,
       t2.ioc_submitter,
       t2.log_day,
       t2.devid,
       t2.src_logs,
       t2.log_num,
       t2.devids,
       regexp_extract(customer_info,'customer_name=(.+?)[,}]', 1) AS customer_name,
       regexp_extract(customer_info,'country=(.+?)[,}]', 1) AS country,
       regexp_extract(customer_info,'province=(.+?)[,}]', 1) AS province,
       regexp_extract(customer_info,'city=(.+?)[,}]', 1) AS city,
       regexp_extract(customer_info,'customer_industry=(.+?)[,}]', 1) AS customer_industry,
       if(tag_device.customer_type is null, 999, tag_device.customer_type) AS customer_type
FROM
  (SELECT devid,
          src_logs,
          log_num,
          log_day,
          SOURCE,
          raw_ioc_type,
          related_ioc_type,
          related_path,
          organization_label,
          related_ioc,
          ioc_updater,
          ioc_submitter,
          ti_type,
          related_rule_name,
          raw_ioc,
          devids
   FROM
     (SELECT log_tbl.devid,
             src_logs,
             log_num,
             log_day,
             SOURCE,
             raw_ioc_type,
             related_ioc_type,
             related_path,
             organization_label,
             related_ioc,
             ioc_updater,
             ioc_submitter,
             ti_type,
             related_rule_name,
             raw_ioc
      FROM log_tbl
      JOIN apt_tbl ON log_tbl.ioc=apt_tbl.related_ioc) t
   JOIN
     (SELECT ioc,
             count(DISTINCT devid) AS devid_num,
             collect_set(devid) AS devids
      FROM log_tbl
      GROUP BY ioc) t1 ON t.related_ioc=t1.ioc
   WHERE devid_num&lt;=:max_dev_num
 </t>
  </si>
  <si>
    <t>RETRO_DOMAIN_SQL</t>
  </si>
  <si>
    <t>10mins, 50sec</t>
  </si>
  <si>
    <t>WITH apt_tbl AS
  (SELECT get_json_object(DATA, "$.source") AS SOURCE,
          get_json_object(DATA, "$.raw_ioc_type") AS raw_ioc_type,
          get_json_object(DATA, "$.related_ioc_type") AS related_ioc_type,
          get_json_object(DATA, "$.related_path") AS related_path,
          get_json_object(DATA, "$.organization_label") AS organization_label,
          get_json_object(DATA, "$.related_ioc") AS related_ioc,
          get_json_object(DATA, "$.ti_type") AS ti_type,
          get_json_object(DATA, "$.related_rule_name") AS related_rule_name,
          get_json_object(DATA, "$.raw_ioc") AS raw_ioc,
          get_json_object(DATA, "$.ioc_updater") AS ioc_updater,
          get_json_object(DATA, "$.ioc_submitter") AS ioc_submitter
   FROM csc.ods_csc_apt_hunting
   WHERE task_id=:task_id
     AND ioc_type=:ioc_type ),
     tag_device AS
  (SELECT str1 AS devid,
          str2 AS customer_type
   FROM default.ods_custom_upload_data
   WHERE part1="apt_hunting"
     AND part2="tag_device" ),
     test_device AS
  (SELECT str1 AS devid
   FROM default.ods_custom_upload_data
   WHERE part1="apt_hunting"
     AND part2="test_device" ),
     log_tbl AS
  (SELECT ioc,
          devid,
          log_day,
          collect_set(src_log) AS src_logs,
          sum(log_num) AS log_num
   FROM
     (SELECT DOMAIN AS ioc,
             devid AS devid,
             DAY AS log_day,
             src_log,
             log_num
      FROM default.dwb_domain_info LEFT SEMI
      JOIN apt_tbl ON apt_tbl.related_ioc=dwb_domain_info.domain
      WHERE DAY&gt;=:start_day
        AND DAY&lt;=:end_day
        AND extends IS NOT NULL
        AND src_log='log_audit'
        AND devid NOT IN
          (SELECT devid
           FROM test_device)
      UNION ALL SELECT DOMAIN AS ioc,
                       MANAGE AS devid,
                       DAY AS log_day,
                       src_log,
                       log_num
      FROM sodl.dwb_sodl_domain_info LEFT SEMI
      JOIN apt_tbl ON apt_tbl.related_ioc=dwb_sodl_domain_info.domain
      WHERE DAY&gt;=:start_day
        AND DAY&lt;=:end_day
        AND MANAGE NOT IN
          (SELECT devid
           FROM test_device) ) w1
   GROUP BY ioc,
            devid,
            log_day)
SELECT t2.raw_ioc,
       t2.raw_ioc_type,
       t2.related_ioc,
       t2.related_ioc_type,
       t2.related_rule_name,
       t2.related_path,
       t2.ti_type,
       t2.organization_label,
       t2.source,
       t2.ioc_updater,
       t2.ioc_submitter,
       t2.log_day,
       t2.devid,
       t2.src_logs,
       t2.log_num,
       t2.devids,
       regexp_extract(customer_info,'customer_name=(.+?)[,}]', 1) AS customer_name,
       regexp_extract(customer_info,'country=(.+?)[,}]', 1) AS country,
       regexp_extract(customer_info,'province=(.+?)[,}]', 1) AS province,
       regexp_extract(customer_info,'city=(.+?)[,}]', 1) AS city,
       regexp_extract(customer_info,'customer_industry=(.+?)[,}]', 1) AS customer_industry,
       if(tag_device.customer_type is null, 999, tag_device.customer_type) AS customer_type
FROM
  (SELECT devid,
          src_logs,
          log_num,
          log_day,
          SOURCE,
          raw_ioc_type,
          related_ioc_type,
          related_path,
          organization_label,
          related_ioc,
          ioc_updater,
          ioc_submitter,
          ti_type,
          related_rule_name,
          raw_ioc,
          devids
   FROM
     (SELECT log_tbl.devid,
             src_logs,
             log_num,
             log_day,
             SOURCE,
             raw_ioc_type,
             related_ioc_type,
             related_path,
             organization_label,
             related_ioc,
             ioc_updater,
             ioc_submitter,
             ti_type,
             related_rule_name,
             raw_ioc
      FROM log_tbl
      JOIN apt_tbl ON log_tbl.ioc=apt_tbl.related_ioc) t
   JOIN
(SELECT ioc,
             count(DISTINCT devid) AS devid_num,
             collect_set(devid) AS devids
      FROM log_tbl
      GROUP BY ioc) t1 ON t.related_ioc=t1.ioc
   WHERE devid_num&lt;=:max_dev_num
     OR (devid_num&lt;=:origin_max_dev_num
         AND related_rule_name="origin") ) t2
JOIN default.ods_devicemanager_deviceinfo ON ods_devicemanager_deviceinfo.dev_id=t2.devid
LEFT JOIN tag_device ON t2.devid=tag_device.devid
WHERE ods_devicemanager_deviceinfo.dev_id!=""</t>
  </si>
  <si>
    <t>RETRO_MD5_SQL</t>
  </si>
  <si>
    <t>12mins, 9sec</t>
  </si>
  <si>
    <t>WITH apt_tbl AS
  (SELECT get_json_object(DATA, "$.source") AS SOURCE,
          get_json_object(DATA, "$.raw_ioc_type") AS raw_ioc_type,
          get_json_object(DATA, "$.related_ioc_type") AS related_ioc_type,
          get_json_object(DATA, "$.related_path") AS related_path,
          get_json_object(DATA, "$.organization_label") AS organization_label,
          get_json_object(DATA, "$.related_ioc") AS related_ioc,
          get_json_object(DATA, "$.ti_type") AS ti_type,
          get_json_object(DATA, "$.related_rule_name") AS related_rule_name,
          get_json_object(DATA, "$.raw_ioc") AS raw_ioc,
          get_json_object(DATA, "$.ioc_updater") AS ioc_updater,
          get_json_object(DATA, "$.ioc_submitter") AS ioc_submitter
   FROM csc.ods_csc_apt_hunting
   WHERE task_id=:task_id
     AND ioc_type=:ioc_type ),
     tag_device AS
  (SELECT str1 AS devid,
          str2 AS customer_type
   FROM default.ods_custom_upload_data
   WHERE part1="apt_hunting"
     AND part2="tag_device" ),
     test_device AS
  (SELECT str1 AS devid
   FROM default.ods_custom_upload_data
   WHERE part1="apt_hunting"
     AND part2="test_device" ),
     log_tbl AS
  (SELECT ioc,
          devid,
          log_day,
          collect_set(src_log) AS src_logs,
          sum(log_num) AS log_num
   FROM
     (SELECT md5 AS ioc,
             devid AS devid,
             DAY AS log_day,
             src_log,
             log_num
      FROM default.dwb_md5_info LEFT SEMI
      JOIN apt_tbl ON apt_tbl.related_ioc=dwb_md5_info.md5
      WHERE DAY&gt;=:start_day
        AND DAY&lt;=:end_day
        AND extends IS NOT NULL
        AND src_log='log_audit'
        AND devid NOT IN
          (SELECT devid
           FROM test_device)
      UNION ALL SELECT filehash AS ioc,
                       MANAGE AS devid,
                       DAY AS log_day,
                       src_log,
                       log_num
      FROM sodl.dwb_sodl_md5_info LEFT SEMI
      JOIN apt_tbl ON apt_tbl.related_ioc=dwb_sodl_md5_info.filehash
      WHERE DAY&gt;=:start_day
        AND DAY&lt;=:end_day
        AND MANAGE NOT IN
          (SELECT devid
           FROM test_device) ) w1
   GROUP BY ioc,
            devid,
            log_day)
SELECT t2.raw_ioc,
       t2.raw_ioc_type,
       t2.related_ioc,
       t2.related_ioc_type,
       t2.related_rule_name,
       t2.related_path,
       t2.ti_type,
       t2.organization_label,
       t2.source,
       t2.ioc_updater,
       t2.ioc_submitter,
       t2.log_day,
       t2.devid,
       t2.src_logs,
       t2.log_num,
       t2.devids,
       regexp_extract(customer_info,'customer_name=(.+?)[,}]', 1) AS customer_name,
       regexp_extract(customer_info,'country=(.+?)[,}]', 1) AS country,
       regexp_extract(customer_info,'province=(.+?)[,}]', 1) AS province,
       regexp_extract(customer_info,'city=(.+?)[,}]', 1) AS city,
       regexp_extract(customer_info,'customer_industry=(.+?)[,}]', 1) AS customer_industry,
       if(tag_device.customer_type is null, 999, tag_device.customer_type) AS customer_type
FROM
  (SELECT devid,
          src_logs,
          log_num,
          log_day,
          SOURCE,
          raw_ioc_type,
          related_ioc_type,
          related_path,
          organization_label,
          related_ioc,
          ioc_updater,
          ioc_submitter,
          ti_type,
          related_rule_name,
          raw_ioc,
          devids
   FROM
     (SELECT log_tbl.devid,
             src_logs,
             log_num,
             log_day,
             SOURCE,
             raw_ioc_type,
             related_ioc_type,
             related_path,
             organization_label,
             related_ioc,
             ioc_updater,
             ioc_submitter,
             ti_type,
             related_rule_name,
             raw_ioc
      FROM log_tbl
      JOIN apt_tbl ON log_tbl.ioc=apt_tbl.related_ioc) t
   JOIN
  (SELECT ioc,
             count(DISTINCT devid) AS devid_num,
             collect_set(devid) AS devids
      FROM log_tbl
      GROUP BY ioc) t1 ON t.related_ioc=t1.ioc
   WHERE devid_num&lt;=:max_dev_num
     OR (devid_num&lt;=:origin_max_dev_num
         AND related_rule_name="origin") ) t2
JOIN default.ods_devicemanager_deviceinfo ON ods_devicemanager_deviceinfo.dev_id=t2.devid
LEFT JOIN tag_device ON t2.devid=tag_device.devid
WHERE ods_devicemanager_deviceinfo.dev_id!=""</t>
  </si>
  <si>
    <t>RETRO_URL_SQL</t>
  </si>
  <si>
    <t>11mins, 17sec</t>
  </si>
  <si>
    <t>WITH apt_tbl AS
  (SELECT get_json_object(DATA, "$.source") AS SOURCE,
          get_json_object(DATA, "$.raw_ioc_type") AS raw_ioc_type,
          get_json_object(DATA, "$.related_ioc_type") AS related_ioc_type,
          get_json_object(DATA, "$.related_path") AS related_path,
          get_json_object(DATA, "$.organization_label") AS organization_label,
          get_json_object(DATA, "$.related_ioc") AS related_ioc,
          split(get_json_object(DATA, "$.related_ioc"), "[?]")[0] AS related_ioc_deal,
          get_json_object(DATA, "$.ti_type") AS ti_type,
          get_json_object(DATA, "$.related_rule_name") AS related_rule_name,
          get_json_object(DATA, "$.raw_ioc") AS raw_ioc,
          get_json_object(DATA, "$.ioc_updater") AS ioc_updater,
          get_json_object(DATA, "$.ioc_submitter") AS ioc_submitter
   FROM csc.ods_csc_apt_hunting
   WHERE task_id=:task_id
     AND ioc_type=:ioc_type ),
     tag_device AS
  (SELECT str1 AS devid,
          str2 AS customer_type
   FROM default.ods_custom_upload_data
   WHERE part1="apt_hunting"
     AND part2="tag_device" ),
     test_device AS
  (SELECT str1 AS devid
   FROM default.ods_custom_upload_data
   WHERE part1="apt_hunting"
     AND part2="test_device" ),
     log_tbl AS
  (SELECT ioc,
          devid,
          log_day,
          collect_set(src_log) AS src_logs,
          sum(log_num) AS log_num
   FROM
     (SELECT url AS ioc,
             devid AS devid,
             DAY AS log_day,
             src_log,
             log_num
      FROM default.dwb_url_info LEFT SEMI
      JOIN apt_tbl ON apt_tbl.related_ioc=dwb_url_info.url
      WHERE DAY&gt;=:start_day
        AND DAY&lt;=:end_day
        AND extends IS NOT NULL
        AND src_log='log_audit'
        AND devid NOT IN
          (SELECT devid
           FROM test_device)
      UNION ALL SELECT url AS ioc,
                       MANAGE AS devid,
                       DAY AS log_day,
                       src_log,
                       log_num
      FROM sodl.dwb_sodl_url_info LEFT SEMI
      JOIN apt_tbl ON apt_tbl.related_ioc=dwb_sodl_url_info.url
      WHERE DAY&gt;=:start_day
        AND DAY&lt;=:end_day
        AND MANAGE NOT IN
          (SELECT devid
           FROM test_device) ) w1
   GROUP BY ioc,
            devid,
            log_day)
SELECT t2.raw_ioc,
       t2.raw_ioc_type,
       t2.related_ioc,
       t2.related_ioc_type,
       t2.related_rule_name,
       t2.related_path,
       t2.ti_type,
       t2.organization_label,
       t2.source,
       t2.ioc_updater,
       t2.ioc_submitter,
       t2.log_day,
       t2.devid,
       t2.src_logs,
       t2.log_num,
       t2.devids,
       regexp_extract(customer_info,'customer_name=(.+?)[,}]', 1) AS customer_name,
       regexp_extract(customer_info,'country=(.+?)[,}]', 1) AS country,
       regexp_extract(customer_info,'province=(.+?)[,}]', 1) AS province,
       regexp_extract(customer_info,'city=(.+?)[,}]', 1) AS city,
       regexp_extract(customer_info,'customer_industry=(.+?)[,}]', 1) AS customer_industry,
       if(tag_device.customer_type is null, 999, tag_device.customer_type) AS customer_type
FROM
  (SELECT devid,
          src_logs,
          log_num,
          log_day,
          SOURCE,
          raw_ioc_type,
          related_ioc_type,
          related_path,
          organization_label,
          related_ioc,
          ioc_updater,
          ioc_submitter,
          ti_type,
          related_rule_name,
          raw_ioc,
          devids
   FROM
     (SELECT log_tbl.devid,
             src_logs,
             log_num,
             log_day,
             SOURCE,
             raw_ioc_type,
             related_ioc_type,
             related_path,
             organization_label,
             related_ioc,
             related_ioc_deal,
             ioc_updater,
             ioc_submitter,
             ti_type,
             related_rule_name,
             raw_ioc
      FROM log_tbl
      JOIN apt_tbl ON log_tbl.ioc=apt_tbl.related_ioc_deal) t
   JOIN
     (SELECT ioc,
             count(DISTINCT devid) AS devid_num,
             collec</t>
  </si>
  <si>
    <t>datax-server</t>
  </si>
  <si>
    <t>mongodb表同步hive</t>
  </si>
  <si>
    <t>情报信誉mongodb同步hive</t>
  </si>
  <si>
    <t>非yarn任务</t>
  </si>
  <si>
    <t>cert-app-samplesync-country-job</t>
  </si>
  <si>
    <t>蓝军 cert数据上报</t>
  </si>
  <si>
    <t>0 4 * * 1</t>
  </si>
  <si>
    <t>10mins, 48sec</t>
  </si>
  <si>
    <t>SELECT virus_name, file_md5 FROM sri.ods_sri_hashinfo\n                        WHERE virus_name regexp '^Ransom|^Hacktool|^Trojan|^Bootkit|^CoinMiner|^Riskware|^Rogue|^Suspicious|^Worm|^Spyware|^Infostealer|^Backdoor|^Virus|^Rootkit|^Exploit|^Adware|^PUP'\n                        AND oid &gt; '681594de0000000000000000'\n                        AND file_attr in (0, 2)\n                        AND platform IN ('Android', 'AndroidOS')\n                        AND fdfs_path != ""\n                        AND file_size != "0" AND CAST (file_size AS INT) &lt; 1048576\n                        AND file_md5 NOT IN (SELECT str1 FROM csc.ods_csc_business_data)\n                        ORDER BY file_attr ASC, oid DESC\n                        LIMIT 2000</t>
  </si>
  <si>
    <t>cert-app-samplesync-job</t>
  </si>
  <si>
    <t>0 0 3 * *</t>
  </si>
  <si>
    <t>SELECT virus_name, file_md5 FROM sri.ods_sri_hashinfo\n                        WHERE virus_name regexp '^Ransom|^Hacktool|^Trojan|^Bootkit|^CoinMiner|^Riskware|^Rogue|^Suspicious|^Worm|^Spyware|^Infostealer|^Backdoor|^Virus|^Rootkit|^Exploit|^Adware|^PUP'\n                        AND oid &gt; '68155ca30000000000000000'\n                        AND file_attr in (0, 2)\n                        AND platform IN ('Android', 'AndroidOS')\n                        AND fdfs_path != ""\n                        AND file_size != "0" AND CAST (file_size AS INT) &lt; 1048576\n                        AND file_md5 NOT IN (SELECT str1 FROM csc.ods_csc_business_data)\n                        ORDER BY file_attr ASC, oid DESC\n                        LIMIT 4100</t>
  </si>
  <si>
    <t>ti-ip-detection-send-prc</t>
  </si>
  <si>
    <t>从数据湖获取aES上报IP</t>
  </si>
  <si>
    <t>SQL</t>
  </si>
  <si>
    <t>aes检测</t>
  </si>
  <si>
    <t>ck</t>
  </si>
  <si>
    <t>SELECT DISTINCT
      splitByChar(':', JSONExtractString(element, 'ip'))[1] AS ip_address,
      splitByChar(':', JSONExtractString(element, 'ip'))[2] AS port
  FROM 
      sodl.operation_rdp_event_log
  ARRAY JOIN JSONExtractArrayRaw(businessContent) AS element
  WHERE 
      businessType = '21' 
      AND formatDateTime(toDateTime(insertTimestamp), '%%Y%%m%%d%%H') &gt;= '%s' AND formatDateTime(toDateTime(insertTimestamp), '%%Y%%m%%d%%H') &lt; '%s' limit %d;</t>
  </si>
  <si>
    <t>ti-hot-data-detection-fusing-prc</t>
  </si>
  <si>
    <t>从数据湖获取aES上报MD5</t>
  </si>
  <si>
    <t>5 * * * *</t>
  </si>
  <si>
    <t>SELECT fileMd5, deviceId, virusName FROM sodl.handle_info_log WHERE formatDateTime(toDateTime(insertTimestamp), '%Y%m%d%H') &gt;= '{}' AND formatDateTime(toDateTime(insertTimestamp), '%Y%m%d%H') &lt; '{}' AND engineInfo LIKE '%IsHotspot%' AND detectEngine = '4'</t>
  </si>
  <si>
    <t>ctig-report-data-analysis-prc</t>
  </si>
  <si>
    <t>云情报网关报告分析</t>
  </si>
  <si>
    <t>STAT_SQL</t>
  </si>
  <si>
    <t>云情报网关-报告分析</t>
  </si>
  <si>
    <t>cipd</t>
  </si>
  <si>
    <t>WITH black_reputation_domain as(
	SELECT 
        domain, 
        concat_ws(
            '|',
            regexp_extract(labels, 'category=([^,}}]+)', 1),
            regexp_extract(labels, 'family=([^,}}]+)', 1)
        )as label,
        threat_level,
        add_time,
		update_time
    FROM csc.ods_csc_db_domain_intelligence_tb_domain_reputation_sync
    WHERE reputation = '0'
	  AND deleted_time = 0
),
black_reputation_ip as(
	SELECT 
        ip, 
        concat_ws(
            '|',
            regexp_extract(labels, 'category=([^,}}]+)', 1),
            regexp_extract(labels, 'family=([^,}}]+)', 1)
        )as label,
        threat_level,
        add_time,
		update_time
    FROM csc.ods_csc_tim_db_intelligence_tb_ip_reputation_sync
    WHERE reputation = '0'
		  AND direction='2'
          AND port=0 
		  AND deleted_time=0
),
tenant_info as(
    SELECT DISTINCT
        t.tenant_id,
        t.device_id,
        d.device_id_encryption            
    FROM csc.ods_csc_tb_tenant_subscribe_info t
    LATERAL VIEW OUTER explode(split(t.device_id_encryption, ',')) d AS device_id_encryption
    where tenant_id in ({tenant_ids})
),
domain_filtered_log as(
    select 
        tenant_info.tenant_id,
        tenant_info.device_id,
        log_info.day,
        log_info.srcip,
        log_info.domain as ioc,
        sum(log_info.log_num) as log_num,
		black_reputation_domain.add_time,
        black_reputation_domain.label,
        black_reputation_domain.threat_level
    from
	(
	SELECT
		day,
		srcip, 
		manage as device_id, 
		domain,
		log_num,
		row_key
	FROM sodl.dwb_sodl_domain_info
	WHERE day BETWEEN {start_time} and {end_time}
		and row_key != ''
		-- 云情报网关日志
		and producttype = 'AF' 
		and src_log = 'network_security_log'
		and reqruleid BETWEEN '140000000' AND '149999999'
	) log_info 
	JOIN tenant_info ON log_info.device_id = tenant_info.device_id_encryption
	JOIN black_reputation_domain ON black_reputation_domain.domain = log_info.row_key
	group by 
	    tenant_info.tenant_id,
        tenant_info.device_id,
        log_info.day,   
        log_info.srcip,
        log_info.domain,
		black_reputation_domain.add_time,
        black_reputation_domain.label,
        black_reputation_domain.threat_level
),
ip_filtered_log as(
    select 
        tenant_info.tenant_id,
        tenant_info.device_id,
        log_info.day,
        log_info.srcip,
        log_info.dstip as ioc,
        sum(log_info.log_num) as log_num,
		black_reputation_ip.add_time,
        black_reputation_ip.label,
        black_reputation_ip.threat_level
    from
	(
	SELECT
		day,
		srcip, 
		manage as device_id, 
		dstip,
		log_num
	FROM sodl.dwb_sodl_ip_info
	WHERE day BETWEEN {start_time} and {end_time}
		-- 云情报网关日志
		and producttype = 'AF' 
		and src_log = 'network_security_log'
		and reqruleid BETWEEN '140000000' AND '149999999'
		-- 排除非法IP
		and dstip !=''
		and dstip not in ('8.8.8.8', '8.8.4.4','114.114.114.114', '114.114.115.115', '119.29.29.29', '223.5.5.5', '223.6.6.6', '1.1.1.1', '1.0.0.1')
		and dstip RLIKE '^([0-9]{{1,3}}\\\.){{3}}[0-9]{{1,3}}$'
		and dstip NOT RLIKE '^(0\\\.|127\\\.|10\\\.|172\\\.(1[6-9]|2[0-9]|3[01])\\\.|192\\\.168\\\.)'
	) log_info 
	JOIN tenant_info ON log_info.device_id = tenant_info.device_id_encryption
	JOIN black_reputation_ip ON black_reputation_ip.ip = log_info.dstip
	group by 
	    tenant_info.tenant_id,
        tenant_info.device_id,
        log_info.day,   
        log_info.srcip,
        log_info.dstip,
		black_reputation_ip.add_time,
        black_reputation_ip.label,
        black_reputation_ip.threat_level
),
data_stat AS(
  SELECT *
  FROM  domain_filtered_log
  union all
  SELECT *
  FROM  ip_filtered_log
),
ip_rpt_update_stat as(
	SELECT 
		count(1) as rpt_update_num
	FROM black_reputation_ip
	WHERE update_time &gt; CAST(unix_timestamp('{start_time}', 'yyyyMMdd') * 1000 AS BIGINT)
),
domain_rpt_update_stat as(
	SELECT 
		count(1) as rpt_update_num
	FROM black_reputation_domain
	WHERE update_time &gt; CAST(unix_timestamp('{start_time}', 'yyyyMMdd') * 1000 AS BIGINT)
),
url_rpt_update_stat as(
	SELECT 
		count(1) as rpt_update_num
	FROM csc.ods_csc_db_url_intelligence_tb_url_reputation_sync
    WHERE update_time &gt; CAST(unix_timestamp('{start_time}', 'yyyyMMdd') * 1000 AS BIGINT)
      and deleted_time=0  and scene='malice'
),
file_rpt_update_stat as(
	SELECT 
		count(1) as rpt_update_num
	FROM sri.ods_sri_hashinfo
    WHERE 
        CAST(regexp_extract(update_time, '\\\:\\\s*([0-9]+)', 1) AS BIGINT) &gt; CAST(unix_timestamp('{start_time}', 'yyyyMMdd') * 1000 AS BIGINT)
),
day_stat as(
	select
	    tenant_id,
		day,
		sum(log_num) as log_num
	from data_stat
	group by tenant_id, day
),
log_stat as(
	select
	    tenant_id,
		srcip, 
		device_id, 
		ioc, 
		sum(log_num) as log_num, 
		add_time, 
		label, 
		threat_level
	from data_stat
	group by tenant_id, srcip, device_id, ioc, add_time, label, threat_level
)
select
	t1.tenant_id,
	t3.rpt_update_num,
	t2.log_stat_arr,
	t1.day_stat_arr
from
(
	select 
		tenant_id,
		collect_list(concat_ws(',', cast(day as string), cast(log_num as string))) AS day_stat_arr
	from day_stat
	group by tenant_id
) t1
join 
(
	select 
		tenant_id,
		collect_list(
			concat_ws(',',srcip,device_id, ioc,cast(log_num as string),cast(add_time as string),label,threat_level)
		)as log_stat_arr
	from log_stat
	group by tenant_id
)t2 on t1.tenant_id = t2.tenant_id
cross join
(
	select (ip_rpt_update_stat.rpt_update_num + domain_rpt_update_stat.rpt_update_num + url_rpt_update_stat.rpt_update_num + file_rpt_update_stat.rpt_update_num) as rpt_update_num
	from ip_rpt_update_stat, domain_rpt_update_stat, url_rpt_update_stat, file_rpt_update_stat
	limit 1
) t3</t>
  </si>
  <si>
    <t>active-domain-elt-job</t>
  </si>
  <si>
    <t>活跃域名回扫</t>
  </si>
  <si>
    <t>域名情报生产-主动降误报</t>
  </si>
  <si>
    <t>0 1 * * *</t>
  </si>
  <si>
    <t>2mins, 51sec</t>
  </si>
  <si>
    <t xml:space="preserve">WITH black_dns AS (
SELECT domain,
       regexp_extract(labels, 'category=([^,]+)', 1) AS category,
       regexp_extract(labels, 'family=([^,]+)', 1) AS family,
       regexp_extract(label_details, 'source=([^,]+)', 1) AS source,
       regexp_extract(label_details, 'rule=([^,]+)', 1) AS rule,
       add_time AS addtime
FROM csc.ods_csc_db_domain_intelligence_tb_domain_reputation_sync
WHERE deleted_time=0
  AND reputation='0'),
     test_dev AS (
SELECT str1 AS dev1
FROM default.ods_custom_upload_data
WHERE part1='test_dev'
  AND part2='test_devid')
SELECT blackdns,
       addtime,
       category,
       family,
       source,
       rule,
       count(DISTINCT dev) AS devcn
FROM
  (SELECT a.row_key AS blackdns,
          b.addtime,
          b.category,
          b.family,
          b.source,
          b.rule,
          a.manage AS dev
   FROM sodl.dwb_sodl_domain_info a
   JOIN black_dns b ON (a.row_key=b.domain)
   WHERE a.day=:start_day
     AND a.row_key IS NOT NULL
     AND a.manage NOT IN
       (SELECT *
        FROM test_dev)
   UNION ALL 
   SELECT a.row_key AS blackdns,
          b.addtime,
          b.category,
          b.family,
          b.source,
          b.rule,
          a.devid AS dev
   FROM default.dwb_domain_info a
   JOIN black_dns b ON (a.row_key=b.domain)
   WHERE a.day=:start_day
     AND a.row_key IS NOT NULL
     AND a.devid NOT IN
       (SELECT *
        FROM test_dev) )t
GROUP BY blackdns,
         addtime,
         category,
         family,
         source,
         rule
</t>
  </si>
  <si>
    <t>ACTIVE_DOMAIN_SQL</t>
  </si>
  <si>
    <t xml:space="preserve"> "dwb_domain_info":
        """SELECT 1 FROM default.dwb_domain_info WHERE day=:mday LIMIT 1""",
    "dwb_sodl_domain_info":
        """SELECT 1 FROM sodl.dwb_sodl_domain_info WHERE day=:mday LIMIT 1"""
</t>
  </si>
  <si>
    <t>black-ti-context-produce-prc</t>
  </si>
  <si>
    <t>恶意IOC活跃次数统计</t>
  </si>
  <si>
    <t>C2_IP_ACTIVE_STAT_SQL</t>
  </si>
  <si>
    <t>情报上下文-攻击次数统计</t>
  </si>
  <si>
    <t>5mins, 27sec</t>
  </si>
  <si>
    <t xml:space="preserve">WITH reputation_ip_stat AS
  (SELECT 
      ip,
      port,
      direction,
      expire_time,
      deleted_time,
      attack_count,
      devid,
      "其他" as industry,
      "其他" as country,
      "其他" as province,
      src_log
   FROM
   (
    SELECT 
        ip, 
        port,
        direction,
        expire_time,
        deleted_time
    FROM csc.ods_csc_tim_db_intelligence_tb_ip_reputation_sync
    WHERE direction="2"
        AND port=0 
    ) black_reputation_ip
   JOIN
     (SELECT sum(attack_count) as attack_count,
             MANAGE AS devid,
             COALESCE(CAST(threatclass AS STRING), '0') AS src_log,
             dstip AS dip
      FROM sodl.dwb_sodl_ip_info
      WHERE DAY=:mday
        and src_log in ('sip_iocstat_log', 'network_security_log')
        and dstip !=''
        and dstip not in ('8.8.8.8', '8.8.4.4','114.114.114.114', '114.114.115.115', '119.29.29.29', '223.5.5.5', '223.6.6.6', '1.1.1.1', '1.0.0.1')
        and regexp_extract(dstip,'^(\\\d{1,3}\\\.\\\d{1,3}\\\.\\\d{1,3}\\\.\\\d{1,3})$') != ''
        and regexp_extract(dstip, '^(0\\\.|127\\\.|10\\\.|172\\\.1[6-9]\\\.|172\\\.2[0-9]\\\.|172\\\.3[01]\\\.|192\\\.168\\\.|169\\\.254\\\.|192\\\.0\\\.0\\\.|192\\\.88\\\.99\\\.|198\\\.18\\\.|198\\\.19\\\.|198\\\.51\\\.100\\\.|203\\\.0\\\.113\\\.|224\\\.|240\\\.|255\\\.)') = ''
      group by dstip, MANAGE, threatclass
        ) b ON black_reputation_ip.ip=b.dip
),
industry_stats AS (
  SELECT ip, industry, SUM(attack_count) AS industry_attack_count
  FROM reputation_ip_stat GROUP BY ip, industry
),
region_stats AS (
  SELECT ip, country, province, SUM(attack_count) AS region_attack_count
  FROM reputation_ip_stat GROUP BY ip, country, province
),
log_stats AS (
  SELECT ip, src_log, SUM(attack_count) AS log_attack_count
  FROM reputation_ip_stat GROUP BY ip, src_log
)      
SELECT 
    ris.ip, 
    ris.port,
    ris.direction,
    ris.expire_time,
    ris.deleted_time,
    SUM(ris.attack_count) AS attack_count,
    COLLECT_set(CONCAT(ris.devid)) AS devids,
    COLLECT_set(CONCAT(ris.industry, '@', ins.industry_attack_count)) AS industry_count,
    COLLECT_set(CONCAT(ris.country, '@', ris.province, '@', rs.region_attack_count)) AS region_count,
    COLLECT_set(CONCAT(ris.src_log, '@', ls.log_attack_count)) AS src_log_count
FROM 
    reputation_ip_stat ris
JOIN industry_stats ins ON ris.ip=ins.ip AND ris.industry=ins.industry
JOIN region_stats rs ON ris.ip=rs.ip AND ris.country=rs.country AND ris.province=rs.province
JOIN log_stats ls ON ris.ip=ls.ip AND ris.src_log=ls.src_log
GROUP BY ris.ip, 
         ris.port,
         ris.direction,
         ris.expire_time,
         ris.deleted_time
</t>
  </si>
  <si>
    <t>ATTACK_IP_ACTIVE_STAT_SQL</t>
  </si>
  <si>
    <t>WITH black_reputation_ip AS (
    SELECT 
        ip, 
        port,
        direction,
        expire_time,
        deleted_time
    FROM csc.ods_csc_tim_db_intelligence_tb_ip_reputation_sync
    WHERE direction="1"
        AND port=0 
),
reputation_ip_stat AS
  (SELECT ip,
          port,
          direction,
          expire_time,
          deleted_time,
          attack_count,
          devid,
          industry,
          country,
          province,
          src_log
   FROM
     black_reputation_ip
   JOIN
     (SELECT attack_count,
             MANAGE AS devid,
             CASE
                 WHEN industry IS NULL
                      OR length(industry) = 0 THEN "其他"
                 ELSE industry
             END AS industry,
             CASE
                 WHEN country IS NULL
                      OR length(country) = 0 THEN "其他"
                 ELSE country
             END AS country,
             CASE
                 WHEN province IS NULL
                      OR length(province) = 0 THEN "其他"
                 ELSE province
             END AS province,
             COALESCE(CAST(threatclass AS STRING), '0') AS src_log,
             srcip AS sip
      FROM sodl.dwb_sodl_ip_info
      WHERE DAY=:mday
        ) b ON black_reputation_ip.ip=b.sip
   )
SELECT ip,
       port,
       direction,
       expire_time,
       deleted_time,
       attack_count,
       devids,
       industry_count,
       region_count,
       src_log_count
FROM 
    (SELECT ip,
            port,
            direction,
            expire_time,
            deleted_time,
            SUM(attack_count) AS attack_count,
            COLLECT_set(CONCAT(devid)) AS devids,
            COLLECT_set(CONCAT(industry, '@', industry_attack_count)) AS industry_count,
            COLLECT_set(CONCAT(country, '@', province, '@', region_attack_count)) AS region_count,
            COLLECT_set(CONCAT(src_log, '@', log_attack_count)) AS src_log_count
     FROM
       (SELECT ip,
               port,
               direction,
               expire_time,
               deleted_time,
               attack_count,
               devid,
               industry,
               country,
               province,
               src_log,
               SUM(attack_count) OVER (PARTITION BY ip, industry) AS industry_attack_count,
               SUM(attack_count) OVER (PARTITION BY ip, country, province) AS region_attack_count,
               SUM(attack_count) OVER (PARTITION BY ip, src_log) AS log_attack_count
        FROM reputation_ip_stat) t
     GROUP BY ip, 
              port,
              direction,
              expire_time,
              deleted_time) b</t>
  </si>
  <si>
    <t>DOMAIN_ACTIVE_STAT_SQL</t>
  </si>
  <si>
    <t>12mins, 12sec</t>
  </si>
  <si>
    <t xml:space="preserve">WITH domain_stat AS
(SELECT black_reputation_domain.domain,
      black_reputation_domain.deleted_time,
      attack_count,
      devid,
      "其他" as industry,
      "其他" as country,
      "其他" as province,
      src_log
FROM
 ( 
    SELECT domain, deleted_time
      FROM csc.ods_csc_db_domain_intelligence_tb_domain_reputation_sync
      where reputation = '0'
 ) black_reputation_domain
JOIN
 (SELECT sum(attack_count) as attack_count,
         MANAGE AS devid,
         COALESCE(CAST(threatclass AS STRING), '0') AS src_log,
         domain
  FROM sodl.dwb_sodl_domain_info
      WHERE DAY=:mday
      and row_key!=''
  group by domain, MANAGE, threatclass
      ) b ON black_reputation_domain.domain=b.domain 
),
industry_stats AS (
  SELECT domain, industry, SUM(attack_count) AS industry_attack_count
  FROM domain_stat GROUP BY domain, industry
),
region_stats AS (
  SELECT domain, country, province, SUM(attack_count) AS region_attack_count
  FROM domain_stat GROUP BY domain, country, province
),
log_stats AS (
  SELECT domain, src_log, SUM(attack_count) AS log_attack_count
  FROM domain_stat GROUP BY domain, src_log
)      
SELECT ds.domain,
       ds.deleted_time,
       SUM(ds.attack_count) AS attack_count,
       COLLECT_set(CONCAT(ds.devid)) AS devids,
       COLLECT_set(CONCAT(ds.industry, '@', ins.industry_attack_count)) AS industry_count,
       COLLECT_set(CONCAT(ds.country, '@', ds.province, '@', rs.region_attack_count)) AS region_count,
       COLLECT_set(CONCAT(ds.src_log, '@', ls.log_attack_count)) AS src_log_count
FROM 
    domain_stat ds
JOIN industry_stats ins ON ds.domain=ins.domain AND ds.industry=ins.industry
JOIN region_stats rs ON ds.domain=rs.domain AND ds.country=rs.country AND ds.province=rs.province
JOIN log_stats ls ON ds.domain=ls.domain AND ds.src_log=ls.src_log
GROUP BY ds.domain, ds.deleted_time
</t>
  </si>
  <si>
    <t>MD5_ACTIVE_STAT_SQL</t>
  </si>
  <si>
    <t>27mins, 26sec</t>
  </si>
  <si>
    <t xml:space="preserve">WITH md5_stat AS
  (SELECT filehash AS md5,
          manage AS devid,
                    attack_count,
                    industry,
                    country,
                    province
   FROM sodl.dwb_sodl_md5_info
   WHERE src_log='endpoint_security_log'
     AND file_attr='0'
     AND DAY=:mday
   UNION ALL SELECT md5,
                    devid,
                    attack_count,
                    industry,
                    country,
                    province
   FROM default.dwb_md5_info
   WHERE src_log='log_audit'
     AND SOURCE='file_hash'
     AND attr='0'
     AND DAY=:mday)
SELECT base_stat.md5,
       base_stat.attack_count,
       base_stat.devids,
       industry_count,
       region_count
FROM
  (SELECT md5,
          sum(attack_count) AS attack_count,
          collect_list(concat(devid)) AS devids
   FROM md5_stat
   GROUP BY md5) base_stat
JOIN
  (SELECT md5,
          collect_list(concat(industry, '@', attack_count)) AS industry_count
   FROM
     (SELECT md5,
             CASE
                 WHEN industry IS NULL
                      OR length(industry) = 0 THEN "其他"
                 ELSE industry
             END AS industry,
             sum(attack_count) AS attack_count
      FROM md5_stat
      GROUP BY md5,
               industry) industry_temp
   GROUP BY md5) industry_stat ON base_stat.md5 = industry_stat.md5
JOIN
  (SELECT md5,
          collect_list(concat(country, '@', province, '@', attack_count)) AS region_count
   FROM
     (SELECT md5,
             CASE
                 WHEN country IS NULL
                      OR length(country) = 0 THEN "其他"
                 ELSE country
             END AS country,
             CASE
                 WHEN province IS NULL
                      OR length(province) = 0 THEN "其他"
                 ELSE province
             END AS province,
             sum(attack_count) AS attack_count
      FROM md5_stat
      GROUP BY md5,
               country,
               province) region_temp
   GROUP BY md5) region_stat ON base_stat.md5 = region_stat.md5
</t>
  </si>
  <si>
    <t>SELECT 1 FROM sodl.dwb_sodl_domain_info WHERE day=:mday LIMIT 1        SELECT 1 FROM sodl.dwb_sodl_ip_info WHERE day=:mday LIMIT 1            SELECT count(1) FROM (SELECT 1 FROM sodl.dwb_sodl_md5_info 
        WHERE src_log='endpoint_security_log' AND file_attr='0' AND DAY=:mday LIMIT 1) t LIMIT 1             SELECT count(1) FROM (SELECT 1 FROM default.dwb_md5_info 
        WHERE src_log='log_audit' AND SOURCE='file_hash' AND attr='0' AND DAY=:mday LIMIT 1) t LIMIT 1</t>
  </si>
  <si>
    <t>ip-intelligence-dispatch-prc</t>
  </si>
  <si>
    <t>数据湖未知上报c2 ip分发</t>
  </si>
  <si>
    <t>ti-unknown-ipdata-consume
scia/default/collect-ngaf-ipdata-log</t>
  </si>
  <si>
    <t>云情报网关-数据分发</t>
  </si>
  <si>
    <t>pulsar</t>
  </si>
  <si>
    <t>dns-intelligence-dispatch-prc</t>
  </si>
  <si>
    <t>数据湖未知上报dns分发</t>
  </si>
  <si>
    <t>ti-unknown-dns-consume
scia/default/dns_log</t>
  </si>
  <si>
    <t>url-intelligence-dispatch-prc</t>
  </si>
  <si>
    <t>数据湖未知上报url分发</t>
  </si>
  <si>
    <t>ti-unknown-url-consume
scia/default/collect-ngaf-url-log</t>
  </si>
  <si>
    <t>sodl_ods_info</t>
  </si>
  <si>
    <t>数据同步（拉取数据湖数据）</t>
  </si>
  <si>
    <t>dns_log.sql</t>
  </si>
  <si>
    <t>select productType,
       manage,
       productVer,
       srcIp,
       dstIp,
       qr,
       qTypes,
       queries,
       aTypes,
       answers,
       count(1) as log_num
from sodl.dns_log
where insertTimestamp &gt;= toUnixTimestamp('{start_time}', 'Asia/Shanghai')
  and insertTimestamp &lt; toUnixTimestamp('{end_time}', 'Asia/Shanghai')
group by productType,
         manage,
         productVer,
         srcIp,
         dstIp,
         qr,
         qTypes,
         queries,
         aTypes,
         answers
FORMAT Parquet
settings max_memory_usage=21474836480</t>
  </si>
  <si>
    <t>endpoint_security_log.sql</t>
  </si>
  <si>
    <t>select threatClass,
       threatType,
       threatSubType,
       productType,
       manage,
       manageIp,
       productVer,
       engine,
       fileMd5,
       domain,
       count(1) as log_num
from sodl.endpoint_security_log
where insertTimestamp &gt;= toUnixTimestamp('{start_time}', 'Asia/Shanghai')
  and insertTimestamp &lt; toUnixTimestamp('{end_time}', 'Asia/Shanghai')
group by threatClass,
         threatType,
         threatSubType,
         productType,
         manage,
         manageIp,
         productVer,
         engine,
         fileMd5,
         domain
FORMAT Parquet
settings max_memory_usage=21474836480</t>
  </si>
  <si>
    <t>http_log.sql</t>
  </si>
  <si>
    <t xml:space="preserve">SELECT productType,
      manage,
      productVer,
      srcIp,
      dstIp,
      url,
      count(1) AS log_num
FROM sodl.http_log
WHERE insertTimestamp &gt;= toUnixTimestamp('{start_time}', 'Asia/Shanghai')
 AND insertTimestamp &lt; toUnixTimestamp('{end_time}', 'Asia/Shanghai')
 AND productType IN ('NGAF', 'AF', 'VNGAF')
GROUP BY productType,
        manage,
        productVer,
        srcIp,
        dstIp,
        url
FORMAT Parquet
settings max_memory_usage = 21474836480
</t>
  </si>
  <si>
    <t>network_security_log.sql</t>
  </si>
  <si>
    <t>select threatClass,
       threatType,
       threatSubType,
       productType,
       manage,
       productVer,
       srcIp,
       dstIp,
       reqRuleId, -- sid
       fileHash,
       action,    -- waf, ips -&gt; net_atcion
       tiType,
       riskLevel, -- sip_filethreat_result -&gt; threat
       severity,  -- waf, ips -&gt; level
       engine,
       url,
       result,
       count(1) as log_num,
       ruleName,
       requestHead,
       requestBody
from sodl.network_security_log
where insertTimestamp &gt;= toUnixTimestamp('{start_time}', 'Asia/Shanghai')
  and insertTimestamp &lt; toUnixTimestamp('{end_time}', 'Asia/Shanghai')
  group by threatClass,
       threatType,
       threatSubType,
       productType,
       manage,
       productVer,
       srcIp,
       dstIp,
       reqRuleId, -- sid
       fileHash,
       action,    -- waf, ips -&gt; net_atcion
       tiType,
       riskLevel, -- sip_filethreat_result -&gt; threat
       severity,  -- waf, ips -&gt; level
       engine,
       url,
       result,
       ruleName,
       requestHead,
       requestBody
FORMAT Parquet
settings max_memory_usage=21474836480</t>
  </si>
  <si>
    <t>sip_iocstat_log.sql</t>
  </si>
  <si>
    <t>select productType,
       deviceId as manage,
       productVer,
       ioc_type,
       ioc,
       sum(record_count) as record_count,
       count(1) as log_num
from sodl.sip_iocstat_log
where insertTimestamp &gt;= toUnixTimestamp('{start_time}', 'Asia/Shanghai')
  and insertTimestamp &lt; toUnixTimestamp('{end_time}', 'Asia/Shanghai')
group by productType,
         deviceId,
         productVer,
         ioc_type,
         ioc
FORMAT Parquet
settings max_memory_usage = 21474836480</t>
  </si>
  <si>
    <t>url_log.sql</t>
  </si>
  <si>
    <t>select productType,
       deviceId as manage,
       productVer,
       sip,
       dip,
       host,
       uri,
       urls, 
       count(1) as log_num
from sodl.url_log
where insertTimestamp &gt;= toUnixTimestamp('{start_time}', 'Asia/Shanghai')
  and insertTimestamp &lt; toUnixTimestamp('{end_time}', 'Asia/Shanghai')
group by productType,
         deviceId,
         productVer,
         sip,
         dip,
         host,
         uri,
         urls
FORMAT Parquet
settings max_memory_usage = 21474836480</t>
  </si>
  <si>
    <t>汇总</t>
  </si>
  <si>
    <t>yara-sample-query-job</t>
  </si>
  <si>
    <t>样本查询</t>
  </si>
  <si>
    <t>3 * * * *</t>
  </si>
  <si>
    <t>编译即结束，没向tez提交任务</t>
  </si>
  <si>
    <t>SELECT file_md5
FROM default.dwb_md5_record
JOIN sri.ods_sri_hashinfo ON md5=file_md5
WHERE DAY='20251024'
AND hour='22'
AND fdfs_path IS NOT NULL
AND fdfs_path != ""
AND attr_info=0
GROUP BY file_md5</t>
  </si>
  <si>
    <t>sp-old-update-report-cron-job</t>
  </si>
  <si>
    <t>sp数据采集升级反馈上报中台</t>
  </si>
  <si>
    <t>select source, dev_id, version, sp_name, mtime, err_info, product, upgrade_success, hour_time, sub_type, data from ods_sp_old_dev_update where day=20251102</t>
  </si>
  <si>
    <t>重要性/</t>
  </si>
  <si>
    <t>类别1</t>
  </si>
  <si>
    <t>表名</t>
  </si>
  <si>
    <t>涉及项目</t>
  </si>
  <si>
    <t>csc.ods_csc_apt_hunting</t>
  </si>
  <si>
    <t>csc.ods_csc_business_data</t>
  </si>
  <si>
    <t>csc.ods_csc_db_domain_intelligence_tb_domain_reputation_sync</t>
  </si>
  <si>
    <t>csc.ods_csc_db_url_intelligence_tb_url_reputation_sync</t>
  </si>
  <si>
    <t>csc.ods_csc_ioc_vertex</t>
  </si>
  <si>
    <t>csc.ods_csc_log_audit</t>
  </si>
  <si>
    <t>csc.ods_csc_log_stats</t>
  </si>
  <si>
    <t>csc.ods_csc_tb_tenant_subscribe_info</t>
  </si>
  <si>
    <t>csc.ods_csc_tim_db_intelligence_tb_ip_reputation_sync</t>
  </si>
  <si>
    <t>attack-ip-analysis-cronjob</t>
  </si>
  <si>
    <t>csc.ods_csc_tim_db_unknown_intelligence_tb_skyeye_ip_info_sync</t>
  </si>
  <si>
    <t>default.dwb_domain_info</t>
  </si>
  <si>
    <t>default.dwb_ip_info</t>
  </si>
  <si>
    <t>default.dwb_md5_info</t>
  </si>
  <si>
    <t>default.dwb_url_info</t>
  </si>
  <si>
    <t>default.log_audit_source</t>
  </si>
  <si>
    <t>top-visit-host-produce-job</t>
  </si>
  <si>
    <t>default.log_stats_source</t>
  </si>
  <si>
    <t>default.ods_custom_upload_data</t>
  </si>
  <si>
    <t>default.ods_devicemanager_deviceinfo</t>
  </si>
  <si>
    <t>ods_custom_upload_data</t>
  </si>
  <si>
    <t>sodl.dns_log</t>
  </si>
  <si>
    <t>sodl.dwb_sodl_domain_info</t>
  </si>
  <si>
    <t>sodl.dwb_sodl_ip_info</t>
  </si>
  <si>
    <t>sodl.dwb_sodl_md5_info</t>
  </si>
  <si>
    <t>sodl.dwb_sodl_url_info</t>
  </si>
  <si>
    <t>sodl.endpoint_security_log</t>
  </si>
  <si>
    <t>sodl.http_log</t>
  </si>
  <si>
    <t>sodl.network_security_log</t>
  </si>
  <si>
    <t>sodl.sip_iocstat_log</t>
  </si>
  <si>
    <t>sodl.url_log</t>
  </si>
  <si>
    <t>sri.ods_sri_hashinfo</t>
  </si>
  <si>
    <t>sri.ods_sri_ti_tags</t>
  </si>
  <si>
    <t>项目名称</t>
  </si>
  <si>
    <t>数据来源</t>
  </si>
  <si>
    <t>项目层级分类</t>
  </si>
  <si>
    <t>状态</t>
  </si>
  <si>
    <t>确认人</t>
  </si>
  <si>
    <t>项目已归档</t>
  </si>
  <si>
    <t>业务层</t>
  </si>
  <si>
    <t>历史废弃业务</t>
  </si>
  <si>
    <t>原始层</t>
  </si>
  <si>
    <t>create_hive_partition</t>
  </si>
  <si>
    <t>中间层</t>
  </si>
  <si>
    <r>
      <rPr>
        <rFont val="宋体"/>
        <charset val="134"/>
        <color theme="1"/>
        <sz val="12"/>
      </rPr>
      <t>任务资源使用情况（常驻进程）</t>
    </r>
  </si>
  <si>
    <r>
      <rPr>
        <rFont val="宋体"/>
        <charset val="134"/>
        <color theme="1"/>
        <sz val="12"/>
      </rPr>
      <t>任务资源使用情况（非常驻）</t>
    </r>
  </si>
  <si>
    <r>
      <rPr>
        <rFont val="宋体"/>
        <charset val="134"/>
        <color theme="1"/>
        <sz val="12"/>
      </rPr>
      <t>服务名称</t>
    </r>
  </si>
  <si>
    <r>
      <rPr>
        <rFont val="宋体"/>
        <charset val="134"/>
        <color theme="1"/>
        <sz val="12"/>
      </rPr>
      <t>业务作用</t>
    </r>
  </si>
  <si>
    <r>
      <rPr>
        <rFont val="宋体"/>
        <charset val="134"/>
        <sz val="12"/>
      </rPr>
      <t>子任务</t>
    </r>
  </si>
  <si>
    <r>
      <rPr>
        <rFont val="宋体"/>
        <charset val="134"/>
        <color theme="1"/>
        <sz val="12"/>
      </rPr>
      <t>调度时间</t>
    </r>
  </si>
  <si>
    <r>
      <t>memory</t>
    </r>
    <r>
      <rPr>
        <rFont val="宋体"/>
        <charset val="134"/>
        <color theme="1"/>
        <sz val="12"/>
      </rPr>
      <t>（</t>
    </r>
    <r>
      <rPr>
        <rFont val="Calibri"/>
        <charset val="134"/>
        <color theme="1"/>
        <sz val="12"/>
      </rPr>
      <t>M</t>
    </r>
    <r>
      <rPr>
        <rFont val="宋体"/>
        <charset val="134"/>
        <color theme="1"/>
        <sz val="12"/>
      </rPr>
      <t>）</t>
    </r>
  </si>
  <si>
    <r>
      <rPr>
        <rFont val="宋体"/>
        <charset val="134"/>
        <color theme="1"/>
        <sz val="12"/>
      </rPr>
      <t>代码库</t>
    </r>
  </si>
  <si>
    <r>
      <rPr>
        <rFont val="宋体"/>
        <charset val="134"/>
        <color theme="1"/>
        <sz val="12"/>
      </rPr>
      <t>语句</t>
    </r>
  </si>
  <si>
    <r>
      <rPr>
        <rFont val="宋体"/>
        <charset val="134"/>
        <color theme="1"/>
        <sz val="12"/>
      </rPr>
      <t>日志系统从</t>
    </r>
    <r>
      <rPr>
        <rFont val="Calibri"/>
        <charset val="134"/>
        <color theme="1"/>
        <sz val="12"/>
      </rPr>
      <t>kafka</t>
    </r>
    <r>
      <rPr>
        <rFont val="宋体"/>
        <charset val="134"/>
        <color theme="1"/>
        <sz val="12"/>
      </rPr>
      <t>转发数据到</t>
    </r>
    <r>
      <rPr>
        <rFont val="Calibri"/>
        <charset val="134"/>
        <color theme="1"/>
        <sz val="12"/>
      </rPr>
      <t>ES</t>
    </r>
    <r>
      <rPr>
        <rFont val="宋体"/>
        <charset val="134"/>
        <color theme="1"/>
        <sz val="12"/>
      </rPr>
      <t>、</t>
    </r>
    <r>
      <rPr>
        <rFont val="Calibri"/>
        <charset val="134"/>
        <color theme="1"/>
        <sz val="12"/>
      </rPr>
      <t>HDFS</t>
    </r>
  </si>
  <si>
    <r>
      <rPr>
        <rFont val="宋体"/>
        <charset val="134"/>
        <color theme="1"/>
        <sz val="12"/>
      </rPr>
      <t>常驻</t>
    </r>
  </si>
  <si>
    <r>
      <rPr>
        <rFont val="宋体"/>
        <charset val="134"/>
        <color theme="1"/>
        <sz val="12"/>
      </rPr>
      <t>安全事件实时入</t>
    </r>
    <r>
      <rPr>
        <rFont val="Calibri"/>
        <charset val="134"/>
        <color theme="1"/>
        <sz val="12"/>
      </rPr>
      <t>hive</t>
    </r>
    <r>
      <rPr>
        <rFont val="宋体"/>
        <charset val="134"/>
        <color theme="1"/>
        <sz val="12"/>
      </rPr>
      <t>库进程服务</t>
    </r>
  </si>
  <si>
    <r>
      <rPr>
        <rFont val="宋体"/>
        <charset val="134"/>
        <color theme="1"/>
        <sz val="12"/>
      </rPr>
      <t>实时在线设备统计</t>
    </r>
  </si>
  <si>
    <r>
      <rPr>
        <rFont val="宋体"/>
        <charset val="134"/>
        <color theme="1"/>
        <sz val="12"/>
      </rPr>
      <t>最近一次修改在</t>
    </r>
    <r>
      <rPr>
        <rFont val="Calibri"/>
        <charset val="134"/>
        <color theme="1"/>
        <sz val="12"/>
      </rPr>
      <t>4</t>
    </r>
    <r>
      <rPr>
        <rFont val="宋体"/>
        <charset val="134"/>
        <color theme="1"/>
        <sz val="12"/>
      </rPr>
      <t>年前</t>
    </r>
  </si>
  <si>
    <r>
      <rPr>
        <rFont val="宋体"/>
        <charset val="134"/>
        <color theme="1"/>
        <sz val="12"/>
      </rPr>
      <t>云鉴防护运营数据管理</t>
    </r>
    <r>
      <rPr>
        <rFont val="Calibri"/>
        <charset val="134"/>
        <color theme="1"/>
        <sz val="12"/>
      </rPr>
      <t>APP</t>
    </r>
  </si>
  <si>
    <r>
      <rPr>
        <rFont val="宋体"/>
        <charset val="134"/>
        <color theme="1"/>
        <sz val="12"/>
      </rPr>
      <t>？</t>
    </r>
  </si>
  <si>
    <r>
      <rPr>
        <rFont val="宋体"/>
        <b val="false"/>
        <i val="false"/>
        <strike val="false"/>
        <color rgb="FF000000"/>
        <sz val="12"/>
        <u val="none"/>
      </rPr>
      <t>全部</t>
    </r>
    <r>
      <rPr>
        <rFont val="Calibri"/>
        <b val="false"/>
        <i val="false"/>
        <strike val="false"/>
        <color rgb="FF000000"/>
        <sz val="12"/>
        <u val="none"/>
      </rPr>
      <t>FAILED-&gt;</t>
    </r>
    <r>
      <rPr>
        <rFont val="宋体"/>
        <b val="false"/>
        <i val="false"/>
        <strike val="false"/>
        <color rgb="FF000000"/>
        <sz val="12"/>
        <u val="none"/>
      </rPr>
      <t>没在用？</t>
    </r>
  </si>
  <si>
    <r>
      <rPr>
        <rFont val="宋体"/>
        <charset val="134"/>
        <color theme="1"/>
        <sz val="12"/>
      </rPr>
      <t>资产发现任务</t>
    </r>
  </si>
  <si>
    <r>
      <rPr>
        <rFont val="宋体"/>
        <b val="false"/>
        <i val="false"/>
        <strike val="false"/>
        <color rgb="FF000000"/>
        <sz val="12"/>
        <u val="none"/>
      </rPr>
      <t>全部</t>
    </r>
    <r>
      <rPr>
        <rFont val="Calibri"/>
        <b val="false"/>
        <i val="false"/>
        <strike val="false"/>
        <color rgb="FF000000"/>
        <sz val="12"/>
        <u val="none"/>
      </rPr>
      <t>FAILED-&gt;</t>
    </r>
    <r>
      <rPr>
        <rFont val="宋体"/>
        <b val="false"/>
        <i val="false"/>
        <strike val="false"/>
        <color rgb="FF000000"/>
        <sz val="12"/>
        <u val="none"/>
      </rPr>
      <t>没在用？最近一次提交在</t>
    </r>
    <r>
      <rPr>
        <rFont val="Calibri"/>
        <b val="false"/>
        <i val="false"/>
        <strike val="false"/>
        <color rgb="FF000000"/>
        <sz val="12"/>
        <u val="none"/>
      </rPr>
      <t>3</t>
    </r>
    <r>
      <rPr>
        <rFont val="宋体"/>
        <b val="false"/>
        <i val="false"/>
        <strike val="false"/>
        <color rgb="FF000000"/>
        <sz val="12"/>
        <u val="none"/>
      </rPr>
      <t>年前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</si>
  <si>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http://code.sangfor.org/SRI/SCIA/vuln/vuln-assert-analysis/blob/master/src/scala/vuln-analysis/com.sangfor/vulnassertanalysis/dao/HiveUtil.scala</t>
    </r>
  </si>
  <si>
    <r>
      <t>spark-SQL</t>
    </r>
    <r>
      <rPr>
        <rFont val="宋体"/>
        <charset val="134"/>
        <color theme="1"/>
        <sz val="12"/>
      </rPr>
      <t>分区定时修剪</t>
    </r>
  </si>
  <si>
    <r>
      <rPr>
        <rFont val="宋体"/>
        <b val="false"/>
        <i val="false"/>
        <strike val="false"/>
        <color rgb="FF000000"/>
        <sz val="12"/>
        <u val="none"/>
      </rPr>
      <t>最近一次修改在</t>
    </r>
    <r>
      <rPr>
        <rFont val="Calibri"/>
        <b val="false"/>
        <i val="false"/>
        <strike val="false"/>
        <color rgb="FF000000"/>
        <sz val="12"/>
        <u val="none"/>
      </rPr>
      <t>4</t>
    </r>
    <r>
      <rPr>
        <rFont val="宋体"/>
        <b val="false"/>
        <i val="false"/>
        <strike val="false"/>
        <color rgb="FF000000"/>
        <sz val="12"/>
        <u val="none"/>
      </rPr>
      <t>年前，疑似有流处理方案（？</t>
    </r>
  </si>
  <si>
    <r>
      <rPr>
        <rFont val="宋体"/>
        <charset val="134"/>
        <color theme="1"/>
        <sz val="12"/>
      </rPr>
      <t>文件云查同步到</t>
    </r>
    <r>
      <rPr>
        <rFont val="Calibri"/>
        <charset val="134"/>
        <color theme="1"/>
        <sz val="12"/>
      </rPr>
      <t>hive</t>
    </r>
  </si>
  <si>
    <r>
      <rPr>
        <rFont val="宋体"/>
        <charset val="134"/>
        <color theme="1"/>
        <sz val="12"/>
      </rPr>
      <t>数据同步（拉取数据湖数据）</t>
    </r>
  </si>
  <si>
    <r>
      <rPr>
        <rFont val="宋体"/>
        <charset val="134"/>
        <color theme="1"/>
        <sz val="12"/>
      </rPr>
      <t>日志压缩</t>
    </r>
  </si>
  <si>
    <r>
      <rPr>
        <rFont val="宋体"/>
        <charset val="134"/>
        <color theme="1"/>
        <sz val="12"/>
      </rPr>
      <t>文件</t>
    </r>
    <r>
      <rPr>
        <rFont val="Calibri"/>
        <charset val="134"/>
        <color theme="1"/>
        <sz val="12"/>
      </rPr>
      <t>MD5</t>
    </r>
    <r>
      <rPr>
        <rFont val="宋体"/>
        <charset val="134"/>
        <color theme="1"/>
        <sz val="12"/>
      </rPr>
      <t>、</t>
    </r>
    <r>
      <rPr>
        <rFont val="Calibri"/>
        <charset val="134"/>
        <color theme="1"/>
        <sz val="12"/>
      </rPr>
      <t>URL</t>
    </r>
    <r>
      <rPr>
        <rFont val="宋体"/>
        <charset val="134"/>
        <color theme="1"/>
        <sz val="12"/>
      </rPr>
      <t xml:space="preserve">统计表、域名统计表入库 </t>
    </r>
  </si>
  <si>
    <r>
      <rPr>
        <rFont val="宋体"/>
        <charset val="134"/>
        <color theme="1"/>
        <sz val="12"/>
      </rPr>
      <t>创建</t>
    </r>
    <r>
      <rPr>
        <rFont val="Calibri"/>
        <charset val="134"/>
        <color theme="1"/>
        <sz val="12"/>
      </rPr>
      <t>Hive</t>
    </r>
    <r>
      <rPr>
        <rFont val="宋体"/>
        <charset val="134"/>
        <color theme="1"/>
        <sz val="12"/>
      </rPr>
      <t>分区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</si>
  <si>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http://code.sangfor.org/SRI/SCIA/oozie/oozie-sz/blob/master/oozie_projects/jobs/ShenZhen/log_compress/code/dw_audit/dw_domain_info_audit.sql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</si>
  <si>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http://code.sangfor.org/SRI/SCIA/oozie/oozie-sz/blob/master/oozie_projects/jobs/ShenZhen/log_compress/code/dw_audit/dw_md5_info_audit.sql</t>
    </r>
  </si>
  <si>
    <r>
      <rPr>
        <rFont val="Calibri"/>
        <b val="false"/>
        <i val="false"/>
        <strike val="false"/>
        <sz val="12"/>
      </rPr>
      <t>dw_url_info_audit.sql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</si>
  <si>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http://code.sangfor.org/SRI/SCIA/oozie/oozie-sz/blob/master/oozie_projects/jobs/ShenZhen/log_compress/code/dw_audit/dw_url_info_audit.sql</t>
    </r>
  </si>
  <si>
    <r>
      <rPr>
        <rFont val="Calibri"/>
        <charset val="134"/>
        <color theme="1"/>
        <sz val="12"/>
      </rPr>
      <t>thug</t>
    </r>
    <r>
      <rPr>
        <rFont val="宋体"/>
        <charset val="134"/>
        <color theme="1"/>
        <sz val="12"/>
      </rPr>
      <t>任务队列监控</t>
    </r>
  </si>
  <si>
    <r>
      <rPr>
        <rFont val="宋体"/>
        <b val="false"/>
        <i val="false"/>
        <strike val="false"/>
        <color rgb="FF000000"/>
        <sz val="12"/>
        <u val="none"/>
      </rPr>
      <t>一天约</t>
    </r>
    <r>
      <rPr>
        <rFont val="Calibri"/>
        <b val="false"/>
        <i val="false"/>
        <strike val="false"/>
        <color rgb="FF000000"/>
        <sz val="12"/>
        <u val="none"/>
      </rPr>
      <t>1500</t>
    </r>
    <r>
      <rPr>
        <rFont val="宋体"/>
        <b val="false"/>
        <i val="false"/>
        <strike val="false"/>
        <color rgb="FF000000"/>
        <sz val="12"/>
        <u val="none"/>
      </rPr>
      <t>次</t>
    </r>
  </si>
  <si>
    <r>
      <rPr>
        <rFont val="宋体"/>
        <b val="false"/>
        <i val="false"/>
        <strike val="false"/>
        <color rgb="FF000000"/>
        <sz val="12"/>
        <u val="none"/>
      </rPr>
      <t>分区一直是</t>
    </r>
    <r>
      <rPr>
        <rFont val="Calibri"/>
        <b val="false"/>
        <i val="false"/>
        <strike val="false"/>
        <color rgb="FF000000"/>
        <sz val="12"/>
        <u val="none"/>
      </rPr>
      <t>20240401</t>
    </r>
    <r>
      <rPr>
        <rFont val="宋体"/>
        <b val="false"/>
        <i val="false"/>
        <strike val="false"/>
        <color rgb="FF000000"/>
        <sz val="12"/>
        <u val="none"/>
      </rPr>
      <t>，且一天执行大约</t>
    </r>
    <r>
      <rPr>
        <rFont val="Calibri"/>
        <b val="false"/>
        <i val="false"/>
        <strike val="false"/>
        <color rgb="FF000000"/>
        <sz val="12"/>
        <u val="none"/>
      </rPr>
      <t>1500</t>
    </r>
    <r>
      <rPr>
        <rFont val="宋体"/>
        <b val="false"/>
        <i val="false"/>
        <strike val="false"/>
        <color rgb="FF000000"/>
        <sz val="12"/>
        <u val="none"/>
      </rPr>
      <t>次；</t>
    </r>
    <r>
      <rPr>
        <rFont val="宋体"/>
        <b val="false"/>
        <i val="false"/>
        <strike val="false"/>
        <color rgb="FF000000"/>
        <sz val="12"/>
        <u val="none"/>
      </rPr>
      <t xml:space="preserve">
下线的是thug-task-monitor-hive-source-prc这个容器</t>
    </r>
  </si>
  <si>
    <r>
      <rPr>
        <rFont val="宋体"/>
        <charset val="134"/>
        <color theme="1"/>
        <sz val="12"/>
      </rPr>
      <t>攻击者</t>
    </r>
    <r>
      <rPr>
        <rFont val="Calibri"/>
        <charset val="134"/>
        <color theme="1"/>
        <sz val="12"/>
      </rPr>
      <t>IP</t>
    </r>
    <r>
      <rPr>
        <rFont val="宋体"/>
        <charset val="134"/>
        <color theme="1"/>
        <sz val="12"/>
      </rPr>
      <t>情报生产</t>
    </r>
  </si>
  <si>
    <r>
      <rPr>
        <rFont val="宋体"/>
        <b val="false"/>
        <i val="false"/>
        <strike val="false"/>
        <color rgb="FF000000"/>
        <sz val="12"/>
        <u val="none"/>
      </rPr>
      <t>访问</t>
    </r>
    <r>
      <rPr>
        <rFont val="Calibri"/>
        <b val="false"/>
        <i val="false"/>
        <strike val="false"/>
        <color rgb="FF000000"/>
        <sz val="12"/>
        <u val="none"/>
      </rPr>
      <t>TOP</t>
    </r>
    <r>
      <rPr>
        <rFont val="宋体"/>
        <b val="false"/>
        <i val="false"/>
        <strike val="false"/>
        <color rgb="FF000000"/>
        <sz val="12"/>
        <u val="none"/>
      </rPr>
      <t>库建设(云情报网关过滤包)</t>
    </r>
  </si>
  <si>
    <r>
      <rPr>
        <rFont val="宋体"/>
        <b val="false"/>
        <i val="false"/>
        <strike val="false"/>
        <color rgb="FF000000"/>
        <sz val="12"/>
        <u val="none"/>
      </rPr>
      <t xml:space="preserve"> 域名命中设备数统计（降误报）</t>
    </r>
  </si>
  <si>
    <r>
      <rPr>
        <rFont val="Calibri"/>
        <charset val="134"/>
        <color theme="1"/>
        <sz val="12"/>
      </rPr>
      <t>ip C</t>
    </r>
    <r>
      <rPr>
        <rFont val="宋体"/>
        <charset val="134"/>
        <color theme="1"/>
        <sz val="12"/>
      </rPr>
      <t>端统计</t>
    </r>
  </si>
  <si>
    <r>
      <rPr>
        <rFont val="微软雅黑"/>
        <b val="false"/>
        <i val="false"/>
        <strike val="false"/>
        <color rgb="FF267EF0"/>
        <sz val="11"/>
        <u/>
      </rPr>
      <t>http://code.sangfor.org/SRI/SCIA/CIPD/COMMON/cipd-product-resource-monitor-prc/blob/master/app-sdk/soapa-sangfor-lib/python/configs/sql.py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</si>
  <si>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http://code.sangfor.org/SRI/SCIA/CIPD/URL/phishing-url-operation-prc/blob/master/app-sdk/soapa-sangfor-lib/python/common/config.py</t>
    </r>
  </si>
  <si>
    <r>
      <rPr>
        <rFont val="微软雅黑"/>
        <b val="false"/>
        <i val="false"/>
        <strike val="false"/>
        <color rgb="FF267EF0"/>
        <sz val="11"/>
        <u/>
      </rPr>
      <t>http://code.sangfor.org/SRI/SCIA/CIPD/IP/C2IP-TMP/ip-security-log-etl-prc/blob/master/app-sdk/soapa-sangfor-lib/python/config.py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</si>
  <si>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http://code.sangfor.org/SRI/SCIA/FRAME/assembly-workshop/blob/master/cipd/domain-heat-stats-cron-job/app-cfg/ShenZhen-product/cloud_domain.sql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</si>
  <si>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http://code.sangfor.org/SRI/SCIA/FRAME/assembly-workshop/blob/master/cipd/domain-heat-stats-cron-job/app-cfg/ShenZhen-product/second_level_domain.sql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</si>
  <si>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http://code.sangfor.org/SRI/SCIA/FRAME/assembly-workshop/blob/master/cipd/domain-heat-stats-cron-job/app-cfg/ShenZhen-product/second_level_domain.sql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</si>
  <si>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http://code.sangfor.org/SRI/SCIA/apt-hunting/apt-hunting-monitor-process-job/blob/master/cron-job/monitor_process/sql.py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</si>
  <si>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http://code.sangfor.org/SRI/SCIA/sync/datax-server/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</si>
  <si>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http://code.sangfor.org/SRI/SCIA/datareport/cert-app-samplesync-country-job/blob/master/cron-job/sync_cert_app_country_sample_data/hive_manager.py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</si>
  <si>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http://code.sangfor.org/SRI/SCIA/datareport/cert-app-samplesync-job/blob/master/cron-job/sync_cert_app_sample_data/hive_manager.py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</si>
  <si>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http://code.sangfor.org/SRI/SCIA/CIPD/IP/ti-ip-detection-send-prc/blob/master/src/soapa-app/pkg/ti-ip-detection-send-prc/core/ip_extractor.go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</si>
  <si>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http://code.sangfor.org/SRI/SCIA/FCC/ti-hot-data-detection-fusing-prc/blob/master/app-sdk/soapa-sangfor-lib/python/ti_hot_data_detection_fusing/core/core.py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</si>
  <si>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http://code.sangfor.org/SRI/SCIA/CIPD/DOMAIN/PRE/active-domain-elt-job/blob/master/app-sdk/soapa-sangfor-lib/python/configs/sql.py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</si>
  <si>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http://code.sangfor.org/SRI/SCIA/TIBAE/black-ti-context-produce-prc/blob/master/app-sdk/soapa-sangfor-lib/python/active_info_update/config/active_stat_sql.py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</si>
  <si>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http://code.sangfor.org/SRI/SCIA/CIPD/IP/ip-intelligence-dispatch-prc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</si>
  <si>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http://code.sangfor.org/SRI/SCIA/CIPD/IP/dns-intelligence-dispatch-prc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</si>
  <si>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http://code.sangfor.org/SRI/SCIA/CIPD/IP/url-intelligence-dispatch-prc</t>
    </r>
  </si>
  <si>
    <r>
      <rPr>
        <rFont val="微软雅黑"/>
        <b val="false"/>
        <i val="false"/>
        <strike val="false"/>
        <color rgb="FF267EF0"/>
        <sz val="11"/>
        <u/>
      </rPr>
      <t>http://code.sangfor.org/SRI/SCIA/oozie/oozie-sz/blob/master/oozie_projects/jobs/ShenZhen/sodl_ods_info/config.xml</t>
    </r>
  </si>
  <si>
    <r>
      <rPr>
        <rFont val="Calibri"/>
        <b val="false"/>
        <i val="false"/>
        <strike val="false"/>
        <color rgb="FF267EF0"/>
        <sz val="12"/>
        <u/>
      </rPr>
      <t>http://code.sangfor.org/SRI/SCIA/YaraHunting/yara-sample-query-job/blob/master/cron-job/yara_sample_query/config.py</t>
    </r>
  </si>
  <si>
    <r>
      <rPr>
        <rFont val="微软雅黑"/>
        <b val="false"/>
        <i val="false"/>
        <strike val="false"/>
        <color rgb="FF267EF0"/>
        <sz val="11"/>
        <u/>
      </rPr>
      <t>http://code.sangfor.org/SRI/SCIA/sp/sp-old-update-report-cron-job/blob/master/cron-job/sp_update_report/config.py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</si>
  <si>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csc.ods_csc_db_domain_intelligence_tb_domain_reputation_sync
default.dwb_domain_info
default.ods_custom_upload_data
sodl.dwb_sodl_domain_info
深二MongoDB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深二Redis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</si>
  <si>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csc.ods_csc_apt_hunting
default.dwb_domain_info
default.dwb_ip_info
default.dwb_md5_info
default.dwb_url_info
default.ods_custom_upload_data
default.ods_devicemanager_deviceinfo
sodl.dwb_sodl_domain_info
sodl.dwb_sodl_ip_info
sodl.dwb_sodl_md5_info
sodl.dwb_sodl_url_info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HDFS目录/hive/ods/csc/apt_hunting/{task_id}/{ioc_type}/related/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</si>
  <si>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深二大数据平台（？没有ngaf库了
ngaf.ods_ngaf_dns
ngaf.ods_ngaf_seclog_dos
深二MongoDB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深二MongoDB
HDFS目录/apps/hive/warehouse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</si>
  <si>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csc.ods_csc_ioc_vertex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深二MongoDB
深二Redis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</si>
  <si>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csc.ods_csc_tim_db_intelligence_tb_ip_reputation_sync
csc.ods_csc_tim_db_unknown_intelligence_tb_skyeye_ip_info_sync
default.ods_custom_upload_data
sodl.network_security_log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深二MongoDB
深二Redis
深二Kafka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</si>
  <si>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default.dwb_md5_info
sodl.dwb_sodl_md5_info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Hive查询作为VT查询输入数据，输出为白文件MD5列表同步到文件云系统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</si>
  <si>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csc.ods_csc_db_domain_intelligence_tb_domain_reputation_sync
csc.ods_csc_tb_tenant_subscribe_info
csc.ods_csc_tim_db_intelligence_tb_ip_reputation_sync
default.dwb_md5_info
sodl.dwb_sodl_domain_info
sodl.dwb_sodl_ip_info
sodl.dwb_sodl_md5_info
深二数据湖Pulsar(XDR告警日志)
EDS(东巽沙箱报告文件)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深二MongoDB
深二Redis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</si>
  <si>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csc.ods_csc_business_data
sri.ods_sri_hashinfo
</t>
    </r>
    <r>
      <rPr>
        <b val="true"/>
        <i val="false"/>
        <strike val="false"/>
        <color rgb="FF000000"/>
        <sz val="10"/>
      </rPr>
      <t>数据输出</t>
    </r>
    <r>
      <rPr>
        <b val="false"/>
        <i val="false"/>
        <strike val="false"/>
        <color rgb="FF000000"/>
        <sz val="10"/>
      </rPr>
      <t xml:space="preserve">
HDFS目录/hive/ods/csc/business_data/cert_report/
SCP目标服务器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</si>
  <si>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csc.ods_csc_business_data
sri.ods_sri_hashinfo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HDFS目录/hive/ods/csc/business_data/cert_report/[日期]/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</si>
  <si>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csc.ods_csc_log_stats
深二Redis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Prometheus指标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</si>
  <si>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csc.ods_csc_db_domain_intelligence_tb_domain_reputation_sync
csc.ods_csc_db_url_intelligence_tb_url_reputation_sync
csc.ods_csc_tb_tenant_subscribe_info
csc.ods_csc_tim_db_intelligence_tb_ip_reputation_sync
sodl.dwb_sodl_domain_info
sodl.dwb_sodl_ip_info
sri.ods_sri_hashinfo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深二Kafka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</si>
  <si>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default.ods_devicemanager_deviceinfo
sodl.endpoint_security_log
sodl.network_security_log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深二MongoDB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</si>
  <si>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sodl.dwb_sodl_domain_info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深二MongoDB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</si>
  <si>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default.dwb_domain_info
default.ods_custom_upload_data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深二MongoDB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</si>
  <si>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sodl.network_security_log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深二MongoDB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</si>
  <si>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csc.ods_csc_tim_db_intelligence_tb_ip_reputation_sync
csc.ods_csc_log_audit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深二Redis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</si>
  <si>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csc.ods_csc_ioc_vertex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深二Redis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</si>
  <si>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sodl.network_security_log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深二Redis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</si>
  <si>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深二Kafka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深二MongoDB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</si>
  <si>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csc.ods_csc_log_audit
深二MongoDB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深二MongoDB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</si>
  <si>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sodl.network_security_log
深二MongoDB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深二MongoDB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</si>
  <si>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default.log_audit_source
sodl.network_security_log
sodl.sip_iocstat_log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深二MongoDB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</si>
  <si>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ngaf.ods_ngaf_seclog_pvs
深二MongoDB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深二MongoDB
HDFS目录/apps/hive/warehouse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</si>
  <si>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深二Kafka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深二大数据平台
csc.ods_csc_vertex
csc.ods_csc_edge
Nebula图数据库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</si>
  <si>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深二Kafka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深二MongoDB
深二Redis
HDFS目录 /backup/cloud_display/statistic/{yyyy-MM-dd}/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</si>
  <si>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无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- Hive表分区：多个Hive表的日分区和小时分区
- HDFS目录结构：按时间维度组织的目录结构
- 主要涉及的Hive表：
  - cloudeye库：ods_cloudeye_tamper、ods_cloudeye_vuln
  - sri库：ods_sri_nta_business、ods_sri_nta_ioccustom、ods_sri_nta_ipgroup、ods_sri_nta_riskbusiness、ods_sri_nta_riskevent、ods_sri_nta_riskterminal、ods_sri_nta_secevent、ods_sri_nta_terminal、ods_sri_nta_weakpasswd、ods_sri_save_featureinfo、ods_sri_save_summaryinfo
  - csc库：ods_csc_vertex、ods_csc_edge
  - default库：log_audit_source、log_stats_source
  - sodl库：dns_log、endpoint_security_log、http_log、network_security_log、sip_iocstat_log、url_log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</si>
  <si>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深二MongoDB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HDFS目录
/hive/ods/ngaf/assetinfo/ - 资产信息数据（SZ）
/hive/ods/csc/int_scia_intelligence_cloudlibip/ - 云情报IP数据
/hive/ods/csc/int_scia_intelligence_cloudlibdomain/ - 云情报域名数据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</si>
  <si>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深二数据湖Pulsar
深二Kafka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深二Kafka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</si>
  <si>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深二数据湖Pulsar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深二Kafka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</si>
  <si>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HDFS目录/real-time/config/secevent-to-hive-stream/config.json配置文件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预加载Hive表的分区数据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</si>
  <si>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深二Kafka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HDFS目录 
/real-time/out/ -输出数据目录
/real-time/dirty-data/ -脏数据目录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</si>
  <si>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深二Kafka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ES集群
HDFS目录
基础路径：hdfs://{cluster_name}/soapa_logs/
Dev日志目录：`/soapa_logs/dev_stream/
Stats日志目录：`/soapa_logs/stats_stream/
Audit日志目录：`/soapa_logs/audit_stream/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</si>
  <si>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深二数据湖ClickHouse
sodl.dns_log - DNS日志表
sodl.endpoint_security_log - 端点安全日志表
sodl.http_log - HTTP日志表
sodl.network_security_log - 网络安全日志表
sodl.sip_iocstat_log - SIP IOC统计日志表
sodl.url_log - URL日志表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深二大数据平台(存储在`/hive/ods/sodl/`目录)
sodl.dns_log - DNS日志表
sodl.endpoint_security_log - 端点安全日志表
sodl.http_log - HTTP日志表
sodl.network_security_log - 网络安全日志表
sodl.sip_iocstat_log - SIP IOC统计日志表
sodl.url_log - URL日志表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</si>
  <si>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深二MongoDB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深二大数据平台
sri.ods_sri_hashinfo(全量表)
sri.ods_sri_hashinfo_increment(增量表)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</si>
  <si>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深二数据湖ClickHouse
sodl.handle_info_log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深二Kafka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</si>
  <si>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深二数据湖ClickHouse
sodl.handle_info_log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深二Kafka
Prometheus指标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</si>
  <si>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default.log_audit_source
sodl.dns_log
sodl.url_log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深二Redis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</si>
  <si>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csc.ods_csc_db_domain_intelligence_tb_domain_reputation_sync
csc.ods_csc_db_url_intelligence_tb_url_reputation_sync
csc.ods_csc_log_audit
default.dwb_url_info
default.log_audit_source
default.log_stats_source
default.ods_devicemanager_deviceinfo
sri.ods_sri_hashinfo
sri.ods_sri_ti_tags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深二大数据平台
压缩日志表
csc.ods_csc_log_audit
csc.ods_csc_log_stats
旧中间表
default.dwb_md5_info - MD5信息表，存储在/hive/dwb/default/md5_info/
default.dwb_url_info - URL信息表，存储在/hive/dwb/default/url_info/
default.dwb_domain_info - 域名信息表，存储在/hive/dwb/default/domain_info/</t>
    </r>
  </si>
  <si>
    <r>
      <rPr>
        <b val="true"/>
        <i val="false"/>
        <strike val="false"/>
        <color rgb="FF000000"/>
        <sz val="10"/>
      </rPr>
      <t>数据来源：</t>
    </r>
    <r>
      <rPr>
        <b val="false"/>
        <i val="false"/>
        <strike val="false"/>
        <color rgb="FF000000"/>
        <sz val="10"/>
      </rPr>
      <t xml:space="preserve">
深二大数据平台
csc.ods_csc_db_domain_intelligence_tb_domain_reputation_sync
csc.ods_csc_db_url_intelligence_tb_url_reputation_sync
default.ods_devicemanager_deviceinfo
sodl.dns_log
sodl.dwb_sodl_domain_info
sodl.dwb_sodl_ip_info
sodl.dwb_sodl_md5_info
sodl.dwb_sodl_url_info
sodl.endpoint_security_log
sodl.http_log
sodl.network_security_log
sodl.sip_iocstat_log
sodl.url_log
sri.ods_sri_hashinfo
sri.ods_sri_ti_tags
</t>
    </r>
    <r>
      <rPr>
        <b val="true"/>
        <i val="false"/>
        <strike val="false"/>
        <color rgb="FF000000"/>
        <sz val="10"/>
      </rPr>
      <t>数据输出：</t>
    </r>
    <r>
      <rPr>
        <b val="false"/>
        <i val="false"/>
        <strike val="false"/>
        <color rgb="FF000000"/>
        <sz val="10"/>
      </rPr>
      <t xml:space="preserve">
深二大数据平台
新中间表
sodl.dwb_sodl_md5_info - MD5信息表，存储在/hive/dwb/sodl/md5_info/
sodl.dwb_sodl_url_info - URL信息表，存储在/hive/dwb/sodl/url_info/
sodl.dwb_sodl_domain_info - 域名信息表，存储在/hive/dwb/sodl/domain_info/
sodl.dwb_sodl_ip_info - IP信息表，存储在/hive/dwb/sodl/ip_info/</t>
    </r>
  </si>
</sst>
</file>

<file path=xl/styles.xml><?xml version="1.0" encoding="utf-8"?>
<styleSheet xmlns="http://schemas.openxmlformats.org/spreadsheetml/2006/main">
  <numFmts count="6">
    <numFmt numFmtId="300" formatCode="0_);[Red]\(0\)"/>
    <numFmt numFmtId="301" formatCode="General"/>
    <numFmt numFmtId="302" formatCode="_ * #,##0.00_ ;_ * \-#,##0.00_ ;_ * &quot;-&quot;??_ ;_ @_ "/>
    <numFmt numFmtId="303" formatCode="_ &quot;￥&quot;* #,##0.00_ ;_ &quot;￥&quot;* \-#,##0.00_ ;_ &quot;￥&quot;* &quot;-&quot;??_ ;_ @_ "/>
    <numFmt numFmtId="304" formatCode="_ * #,##0_ ;_ * \-#,##0_ ;_ * &quot;-&quot;_ ;_ @_ "/>
    <numFmt numFmtId="305" formatCode="_ &quot;￥&quot;* #,##0_ ;_ &quot;￥&quot;* \-#,##0_ ;_ &quot;￥&quot;* &quot;-&quot;_ ;_ @_ "/>
  </numFmts>
  <fonts count="63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charset val="134"/>
      <sz val="10"/>
    </font>
    <font>
      <name val="Calibri"/>
      <charset val="134"/>
      <color theme="1"/>
      <sz val="12"/>
    </font>
    <font>
      <name val="Calibri"/>
      <color theme="1"/>
      <sz val="12"/>
    </font>
    <font>
      <name val="宋体"/>
      <charset val="134"/>
      <color theme="1"/>
      <sz val="11"/>
    </font>
    <font>
      <name val="SimSun"/>
      <charset val="134"/>
      <color theme="1"/>
      <sz val="12"/>
    </font>
    <font>
      <name val="Calibri"/>
      <charset val="134"/>
      <sz val="12"/>
    </font>
    <font>
      <name val="Calibri"/>
      <charset val="134"/>
      <sz val="9"/>
    </font>
    <font>
      <name val="SimSun"/>
      <charset val="134"/>
      <sz val="9"/>
    </font>
    <font>
      <name val="Calibri"/>
      <color rgb="FF0000FF"/>
      <sz val="11"/>
      <u/>
    </font>
    <font>
      <name val="Calibri"/>
      <charset val="134"/>
      <color theme="1"/>
      <sz val="12"/>
    </font>
    <font>
      <name val="Calibri"/>
      <color rgb="FF0000FF"/>
      <sz val="12"/>
      <u/>
    </font>
    <font>
      <name val="Calibri"/>
      <color rgb="FF800080"/>
      <sz val="12"/>
      <u/>
    </font>
    <font>
      <name val="Calibri"/>
      <charset val="0"/>
      <sz val="12"/>
    </font>
    <font>
      <name val="宋体"/>
      <charset val="134"/>
      <sz val="12"/>
    </font>
    <font>
      <name val="Calibri"/>
      <sz val="9"/>
    </font>
    <font>
      <name val="SimSun"/>
      <sz val="9"/>
    </font>
    <font>
      <name val="SimSun"/>
      <sz val="12"/>
    </font>
    <font>
      <name val="Calibri"/>
      <sz val="12"/>
    </font>
    <font>
      <name val="Calibri"/>
      <sz val="12"/>
    </font>
    <font>
      <name val="宋体"/>
      <color theme="1"/>
      <sz val="11"/>
    </font>
    <font>
      <name val="SimSun"/>
      <charset val="134"/>
      <sz val="12"/>
    </font>
    <font>
      <name val="宋体"/>
      <sz val="12"/>
    </font>
    <font>
      <name val="Calibri"/>
      <charset val="134"/>
      <sz val="12"/>
    </font>
    <font>
      <name val="Calibri"/>
      <color rgb="FF800080"/>
      <sz val="11"/>
      <u/>
    </font>
    <font>
      <name val="Calibri"/>
      <sz val="9"/>
    </font>
    <font>
      <name val="SimSun"/>
      <charset val="134"/>
      <sz val="9"/>
    </font>
    <font>
      <name val="SimSun"/>
      <charset val="134"/>
      <sz val="12"/>
    </font>
    <font>
      <sz val="9"/>
    </font>
    <font>
      <name val="宋体"/>
      <charset val="134"/>
      <sz val="9"/>
    </font>
    <font>
      <name val="宋体"/>
      <charset val="134"/>
      <color theme="1"/>
      <sz val="12"/>
    </font>
    <font>
      <name val="宋体"/>
    </font>
    <font>
      <name val="宋体"/>
      <sz val="9"/>
    </font>
    <font>
      <name val="宋体"/>
      <color theme="1"/>
      <sz val="12"/>
    </font>
    <font>
      <name val="quote-cjk-patch"/>
      <color rgb="FF0F1115"/>
      <sz val="12"/>
    </font>
    <font>
      <sz val="9"/>
    </font>
    <font>
      <name val="Calibri"/>
    </font>
    <font>
      <b val="true"/>
      <sz val="10"/>
    </font>
    <font>
      <sz val="10"/>
    </font>
    <font>
      <sz val="9"/>
    </font>
    <font>
      <name val="宋体"/>
      <charset val="134"/>
      <color theme="1"/>
      <sz val="11"/>
      <scheme val="minor"/>
    </font>
    <font>
      <b val="true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  <font>
      <name val="宋体"/>
      <charset val="134"/>
      <b val="true"/>
      <color theme="3"/>
      <sz val="13"/>
      <scheme val="minor"/>
    </font>
    <font>
      <name val="宋体"/>
      <charset val="134"/>
      <b val="true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rgb="FFFFEEAD"/>
      </patternFill>
    </fill>
    <fill>
      <patternFill patternType="solid">
        <fgColor rgb="FF8CDDFA"/>
      </patternFill>
    </fill>
    <fill>
      <patternFill patternType="none"/>
    </fill>
    <fill>
      <patternFill patternType="solid">
        <fgColor rgb="FF8CDDFA"/>
      </patternFill>
    </fill>
    <fill>
      <patternFill patternType="solid">
        <fgColor rgb="FFFFEEAD"/>
      </patternFill>
    </fill>
    <fill/>
    <fill>
      <patternFill patternType="solid">
        <fgColor rgb="FFE5F6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78">
    <border>
      <left/>
      <right/>
      <top/>
      <bottom/>
      <diagonal/>
    </border>
    <border>
      <left/>
      <top/>
      <bottom/>
    </border>
    <border/>
    <border/>
    <border/>
    <border>
      <left/>
      <right/>
      <top/>
      <bottom/>
    </border>
    <border>
      <top/>
      <bottom/>
    </border>
    <border>
      <lef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diagonal/>
    </border>
    <border>
      <left style="thin">
        <color auto="true"/>
      </left>
      <right style="thin">
        <color auto="true"/>
      </right>
      <top style="thin">
        <color auto="true"/>
      </top>
    </border>
    <border>
      <left style="medium">
        <color rgb="FF000000"/>
      </left>
      <right/>
      <top style="medium">
        <color rgb="FF000000"/>
      </top>
      <bottom/>
      <diagonal/>
    </border>
    <border>
      <right/>
      <top style="medium">
        <color rgb="FF000000"/>
      </top>
      <bottom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</border>
    <border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  <diagonal/>
    </border>
    <border>
      <right/>
      <top/>
      <bottom/>
    </border>
    <border>
      <left/>
      <right/>
      <top/>
      <bottom/>
      <diagonal/>
    </border>
    <border>
      <left/>
      <right style="medium">
        <color rgb="FF000000"/>
      </right>
      <top/>
      <bottom/>
    </border>
    <border>
      <right/>
      <bottom/>
    </border>
    <border>
      <right/>
      <top/>
      <bottom/>
      <diagonal/>
    </border>
    <border>
      <left style="medium">
        <color rgb="FF000000"/>
      </left>
      <right/>
      <top/>
      <diagonal/>
    </border>
    <border>
      <right/>
      <top/>
      <diagonal/>
    </border>
    <border>
      <left/>
      <right/>
      <top/>
      <diagonal/>
    </border>
    <border>
      <left/>
      <right/>
      <top/>
    </border>
    <border>
      <left/>
      <right style="medium">
        <color rgb="FF000000"/>
      </right>
      <top/>
    </border>
    <border>
      <left style="medium">
        <color rgb="FF000000"/>
      </left>
      <right/>
      <top style="medium">
        <color rgb="FF000000"/>
      </top>
      <diagonal/>
    </border>
    <border>
      <right/>
      <top style="medium">
        <color rgb="FF000000"/>
      </top>
    </border>
    <border>
      <left/>
      <right/>
      <top style="medium">
        <color rgb="FF000000"/>
      </top>
      <diagonal/>
    </border>
    <border>
      <top style="medium">
        <color rgb="FF000000"/>
      </top>
      <diagonal/>
    </border>
    <border>
      <left style="medium">
        <color rgb="FF000000"/>
      </left>
      <right/>
      <bottom/>
    </border>
    <border>
      <left/>
      <right/>
      <bottom/>
    </border>
    <border>
      <left style="medium">
        <color rgb="FF000000"/>
      </left>
    </border>
    <border>
      <right style="medium">
        <color rgb="FF000000"/>
      </right>
    </border>
    <border>
      <right/>
      <top/>
    </border>
    <border>
      <left/>
      <right/>
      <diagonal/>
    </border>
    <border>
      <left style="medium">
        <color rgb="FF000000"/>
      </left>
      <right/>
    </border>
    <border>
      <right/>
    </border>
    <border>
      <left/>
      <right/>
    </border>
    <border>
      <left style="medium">
        <color rgb="FF000000"/>
      </left>
      <right/>
    </border>
    <border>
      <bottom style="thick">
        <color rgb="FF000000"/>
      </bottom>
    </border>
    <border>
      <left/>
      <right/>
    </border>
    <border>
      <left style="medium">
        <color rgb="FF000000"/>
      </left>
      <right/>
      <top style="medium">
        <color rgb="FF000000"/>
      </top>
      <bottom/>
    </border>
    <border>
      <left/>
      <right/>
      <bottom/>
    </border>
    <border>
      <left/>
      <right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/>
      <top style="medium">
        <color rgb="FF000000"/>
      </top>
      <bottom/>
      <diagonal/>
    </border>
    <border>
      <left style="medium">
        <color rgb="FF000000"/>
      </left>
    </border>
    <border>
      <left style="medium">
        <color rgb="FF000000"/>
      </left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</border>
    <border/>
    <border>
      <diagonal/>
    </border>
    <border>
      <left style="medium">
        <color rgb="FF000000"/>
      </left>
      <diagonal/>
    </border>
    <border>
      <left style="medium">
        <color rgb="FF000000"/>
      </left>
      <right/>
      <diagonal/>
    </border>
    <border>
      <left/>
      <right style="medium">
        <color rgb="FF000000"/>
      </right>
    </border>
    <border>
      <left style="medium">
        <color rgb="FF000000"/>
      </left>
      <right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0" fontId="42" fillId="3" borderId="18" xfId="0">
      <alignment vertical="center"/>
    </xf>
    <xf numFmtId="302" fontId="42" fillId="3" borderId="18" xfId="0">
      <alignment vertical="center"/>
    </xf>
    <xf numFmtId="303" fontId="42" fillId="3" borderId="18" xfId="0">
      <alignment vertical="center"/>
    </xf>
    <xf numFmtId="0" fontId="42" fillId="3" borderId="18" xfId="0">
      <alignment vertical="center"/>
    </xf>
    <xf numFmtId="304" fontId="42" fillId="3" borderId="18" xfId="0">
      <alignment vertical="center"/>
    </xf>
    <xf numFmtId="305" fontId="42" fillId="3" borderId="18" xfId="0">
      <alignment vertical="center"/>
    </xf>
    <xf numFmtId="0" fontId="44" fillId="3" borderId="18" xfId="0">
      <alignment vertical="center"/>
    </xf>
    <xf numFmtId="0" fontId="45" fillId="3" borderId="18" xfId="0">
      <alignment vertical="center"/>
    </xf>
    <xf numFmtId="0" fontId="42" fillId="19" borderId="70" xfId="0">
      <alignment vertical="center"/>
    </xf>
    <xf numFmtId="0" fontId="46" fillId="3" borderId="18" xfId="0">
      <alignment vertical="center"/>
    </xf>
    <xf numFmtId="0" fontId="47" fillId="3" borderId="18" xfId="0">
      <alignment vertical="center"/>
    </xf>
    <xf numFmtId="0" fontId="48" fillId="3" borderId="18" xfId="0">
      <alignment vertical="center"/>
    </xf>
    <xf numFmtId="0" fontId="49" fillId="3" borderId="71" xfId="0">
      <alignment vertical="center"/>
    </xf>
    <xf numFmtId="0" fontId="50" fillId="3" borderId="71" xfId="0">
      <alignment vertical="center"/>
    </xf>
    <xf numFmtId="0" fontId="51" fillId="3" borderId="72" xfId="0">
      <alignment vertical="center"/>
    </xf>
    <xf numFmtId="0" fontId="51" fillId="3" borderId="18" xfId="0">
      <alignment vertical="center"/>
    </xf>
    <xf numFmtId="0" fontId="52" fillId="20" borderId="73" xfId="0">
      <alignment vertical="center"/>
    </xf>
    <xf numFmtId="0" fontId="53" fillId="21" borderId="74" xfId="0">
      <alignment vertical="center"/>
    </xf>
    <xf numFmtId="0" fontId="54" fillId="21" borderId="73" xfId="0">
      <alignment vertical="center"/>
    </xf>
    <xf numFmtId="0" fontId="55" fillId="22" borderId="75" xfId="0">
      <alignment vertical="center"/>
    </xf>
    <xf numFmtId="0" fontId="56" fillId="3" borderId="76" xfId="0">
      <alignment vertical="center"/>
    </xf>
    <xf numFmtId="0" fontId="57" fillId="3" borderId="77" xfId="0">
      <alignment vertical="center"/>
    </xf>
    <xf numFmtId="0" fontId="58" fillId="23" borderId="18" xfId="0">
      <alignment vertical="center"/>
    </xf>
    <xf numFmtId="0" fontId="59" fillId="24" borderId="18" xfId="0">
      <alignment vertical="center"/>
    </xf>
    <xf numFmtId="0" fontId="60" fillId="25" borderId="18" xfId="0">
      <alignment vertical="center"/>
    </xf>
    <xf numFmtId="0" fontId="61" fillId="26" borderId="18" xfId="0">
      <alignment vertical="center"/>
    </xf>
    <xf numFmtId="0" fontId="62" fillId="27" borderId="18" xfId="0">
      <alignment vertical="center"/>
    </xf>
    <xf numFmtId="0" fontId="62" fillId="28" borderId="18" xfId="0">
      <alignment vertical="center"/>
    </xf>
    <xf numFmtId="0" fontId="61" fillId="29" borderId="18" xfId="0">
      <alignment vertical="center"/>
    </xf>
    <xf numFmtId="0" fontId="61" fillId="30" borderId="18" xfId="0">
      <alignment vertical="center"/>
    </xf>
    <xf numFmtId="0" fontId="62" fillId="31" borderId="18" xfId="0">
      <alignment vertical="center"/>
    </xf>
    <xf numFmtId="0" fontId="62" fillId="32" borderId="18" xfId="0">
      <alignment vertical="center"/>
    </xf>
    <xf numFmtId="0" fontId="61" fillId="33" borderId="18" xfId="0">
      <alignment vertical="center"/>
    </xf>
    <xf numFmtId="0" fontId="61" fillId="34" borderId="18" xfId="0">
      <alignment vertical="center"/>
    </xf>
    <xf numFmtId="0" fontId="62" fillId="35" borderId="18" xfId="0">
      <alignment vertical="center"/>
    </xf>
    <xf numFmtId="0" fontId="62" fillId="36" borderId="18" xfId="0">
      <alignment vertical="center"/>
    </xf>
    <xf numFmtId="0" fontId="61" fillId="37" borderId="18" xfId="0">
      <alignment vertical="center"/>
    </xf>
    <xf numFmtId="0" fontId="61" fillId="38" borderId="18" xfId="0">
      <alignment vertical="center"/>
    </xf>
    <xf numFmtId="0" fontId="62" fillId="39" borderId="18" xfId="0">
      <alignment vertical="center"/>
    </xf>
    <xf numFmtId="0" fontId="62" fillId="40" borderId="18" xfId="0">
      <alignment vertical="center"/>
    </xf>
    <xf numFmtId="0" fontId="61" fillId="41" borderId="18" xfId="0">
      <alignment vertical="center"/>
    </xf>
    <xf numFmtId="0" fontId="61" fillId="42" borderId="18" xfId="0">
      <alignment vertical="center"/>
    </xf>
    <xf numFmtId="0" fontId="62" fillId="43" borderId="18" xfId="0">
      <alignment vertical="center"/>
    </xf>
    <xf numFmtId="0" fontId="62" fillId="44" borderId="18" xfId="0">
      <alignment vertical="center"/>
    </xf>
    <xf numFmtId="0" fontId="61" fillId="45" borderId="18" xfId="0">
      <alignment vertical="center"/>
    </xf>
    <xf numFmtId="0" fontId="61" fillId="46" borderId="18" xfId="0">
      <alignment vertical="center"/>
    </xf>
    <xf numFmtId="0" fontId="62" fillId="47" borderId="18" xfId="0">
      <alignment vertical="center"/>
    </xf>
    <xf numFmtId="0" fontId="62" fillId="48" borderId="18" xfId="0">
      <alignment vertical="center"/>
    </xf>
    <xf numFmtId="0" fontId="61" fillId="49" borderId="18" xfId="0">
      <alignment vertical="center"/>
    </xf>
  </cellStyleXfs>
  <cellXfs count="29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left" vertical="center" wrapText="false"/>
    </xf>
    <xf fontId="0" fillId="0" borderId="2" xfId="0">
      <alignment vertical="center"/>
    </xf>
    <xf fontId="0" fillId="0" borderId="3" xfId="0">
      <alignment vertical="center"/>
    </xf>
    <xf numFmtId="0" fontId="3" fillId="3" borderId="4" xfId="0">
      <alignment vertical="center" wrapText="false"/>
    </xf>
    <xf numFmtId="0" fontId="4" fillId="3" borderId="4" xfId="0">
      <alignment horizontal="center" vertical="center" wrapText="false"/>
    </xf>
    <xf numFmtId="0" fontId="4" fillId="3" borderId="5" xfId="0">
      <alignment horizontal="center" vertical="center" wrapText="false"/>
    </xf>
    <xf numFmtId="0" fontId="4" fillId="3" borderId="1" xfId="0">
      <alignment horizontal="center" vertical="center" wrapText="false"/>
    </xf>
    <xf fontId="0" fillId="0" borderId="6" xfId="0">
      <alignment vertical="center"/>
    </xf>
    <xf numFmtId="0" fontId="4" fillId="3" borderId="7" xfId="0">
      <alignment horizontal="center" vertical="center" wrapText="false"/>
    </xf>
    <xf numFmtId="0" fontId="4" fillId="3" borderId="4" xfId="0">
      <alignment vertical="center" wrapText="false"/>
    </xf>
    <xf numFmtId="0" fontId="4" fillId="3" borderId="5" xfId="0">
      <alignment horizontal="justify" vertical="center" wrapText="false"/>
    </xf>
    <xf numFmtId="0" fontId="5" fillId="4" borderId="0" xfId="0">
      <alignment vertical="center" wrapText="false"/>
    </xf>
    <xf numFmtId="0" fontId="4" fillId="3" borderId="5" xfId="0">
      <alignment horizontal="general" vertical="center" wrapText="false"/>
    </xf>
    <xf numFmtId="0" fontId="6" fillId="5" borderId="5" xfId="0">
      <alignment horizontal="center" vertical="center" wrapText="false"/>
    </xf>
    <xf numFmtId="0" fontId="6" fillId="3" borderId="5" xfId="0">
      <alignment horizontal="center" vertical="center" wrapText="false"/>
    </xf>
    <xf numFmtId="0" fontId="4" fillId="6" borderId="8" xfId="0">
      <alignment horizontal="center" vertical="center"/>
    </xf>
    <xf numFmtId="0" fontId="7" fillId="6" borderId="8" xfId="0">
      <alignment horizontal="center" vertical="center"/>
    </xf>
    <xf numFmtId="0" fontId="8" fillId="6" borderId="8" xfId="0">
      <alignment horizontal="center" vertical="center"/>
    </xf>
    <xf numFmtId="0" fontId="4" fillId="6" borderId="9" xfId="0">
      <alignment horizontal="center" vertical="center"/>
    </xf>
    <xf numFmtId="0" fontId="5" fillId="7" borderId="9" xfId="0">
      <alignment horizontal="center" vertical="center"/>
    </xf>
    <xf numFmtId="0" fontId="5" fillId="7" borderId="9" xfId="0">
      <alignment horizontal="center" vertical="center" wrapText="false"/>
    </xf>
    <xf numFmtId="0" fontId="4" fillId="2" borderId="10" xfId="0">
      <alignment horizontal="center" vertical="center"/>
    </xf>
    <xf numFmtId="0" fontId="9" fillId="3" borderId="11" xfId="0">
      <alignment horizontal="center" vertical="center" wrapText="false"/>
    </xf>
    <xf numFmtId="0" fontId="10" fillId="3" borderId="11" xfId="0">
      <alignment horizontal="center" vertical="center" wrapText="false"/>
    </xf>
    <xf numFmtId="0" fontId="4" fillId="3" borderId="12" xfId="0">
      <alignment horizontal="center" vertical="center" wrapText="true"/>
    </xf>
    <xf numFmtId="0" fontId="8" fillId="3" borderId="12" xfId="0">
      <alignment horizontal="center" vertical="center"/>
    </xf>
    <xf numFmtId="0" fontId="4" fillId="3" borderId="12" xfId="0">
      <alignment horizontal="center" vertical="center"/>
    </xf>
    <xf numFmtId="0" fontId="9" fillId="3" borderId="13" xfId="0">
      <alignment horizontal="center" vertical="center" wrapText="false"/>
    </xf>
    <xf numFmtId="0" fontId="4" fillId="3" borderId="13" xfId="0">
      <alignment horizontal="justify" vertical="center"/>
    </xf>
    <xf numFmtId="0" fontId="11" fillId="4" borderId="14" xfId="0">
      <alignment horizontal="justify" vertical="center"/>
    </xf>
    <xf numFmtId="0" fontId="5" fillId="4" borderId="14" xfId="0">
      <alignment horizontal="center" vertical="center" wrapText="false"/>
    </xf>
    <xf numFmtId="0" fontId="12" fillId="2" borderId="13" xfId="0">
      <alignment horizontal="center" vertical="center"/>
    </xf>
    <xf numFmtId="0" fontId="6" fillId="3" borderId="13" xfId="0">
      <alignment horizontal="center" vertical="center"/>
    </xf>
    <xf numFmtId="0" fontId="6" fillId="3" borderId="15" xfId="0">
      <alignment horizontal="center" vertical="center"/>
    </xf>
    <xf numFmtId="0" fontId="4" fillId="8" borderId="16" xfId="0">
      <alignment horizontal="center" vertical="center"/>
    </xf>
    <xf numFmtId="0" fontId="9" fillId="3" borderId="17" xfId="0">
      <alignment horizontal="center" vertical="center" wrapText="false"/>
    </xf>
    <xf numFmtId="0" fontId="4" fillId="3" borderId="18" xfId="0">
      <alignment horizontal="center" vertical="center" wrapText="true"/>
    </xf>
    <xf numFmtId="0" fontId="8" fillId="3" borderId="18" xfId="0">
      <alignment horizontal="center" vertical="center"/>
    </xf>
    <xf numFmtId="0" fontId="4" fillId="3" borderId="18" xfId="0">
      <alignment horizontal="center" vertical="center"/>
    </xf>
    <xf numFmtId="0" fontId="9" fillId="3" borderId="12" xfId="0">
      <alignment horizontal="center" vertical="center" wrapText="false"/>
    </xf>
    <xf numFmtId="0" fontId="13" fillId="4" borderId="0" xfId="0">
      <alignment horizontal="justify" vertical="center"/>
    </xf>
    <xf numFmtId="0" fontId="5" fillId="4" borderId="0" xfId="0">
      <alignment horizontal="center" vertical="center" wrapText="false"/>
    </xf>
    <xf numFmtId="0" fontId="5" fillId="9" borderId="0" xfId="0">
      <alignment horizontal="center" vertical="center"/>
    </xf>
    <xf numFmtId="0" fontId="6" fillId="3" borderId="19" xfId="0">
      <alignment horizontal="center" vertical="center"/>
    </xf>
    <xf numFmtId="0" fontId="9" fillId="5" borderId="17" xfId="0">
      <alignment horizontal="center" vertical="center" wrapText="false"/>
    </xf>
    <xf numFmtId="0" fontId="10" fillId="3" borderId="4" xfId="0">
      <alignment horizontal="center" vertical="center" wrapText="false"/>
    </xf>
    <xf numFmtId="0" fontId="14" fillId="4" borderId="0" xfId="0">
      <alignment horizontal="justify" vertical="center"/>
    </xf>
    <xf numFmtId="0" fontId="10" fillId="3" borderId="20" xfId="0">
      <alignment horizontal="center" vertical="center" wrapText="false"/>
    </xf>
    <xf numFmtId="0" fontId="5" fillId="4" borderId="0" xfId="0">
      <alignment horizontal="justify" vertical="center"/>
    </xf>
    <xf numFmtId="0" fontId="4" fillId="2" borderId="16" xfId="0">
      <alignment horizontal="center" vertical="center"/>
    </xf>
    <xf numFmtId="0" fontId="9" fillId="3" borderId="21" xfId="0">
      <alignment horizontal="center" vertical="center" wrapText="false"/>
    </xf>
    <xf numFmtId="0" fontId="9" fillId="3" borderId="18" xfId="0">
      <alignment horizontal="center" vertical="center" wrapText="false"/>
    </xf>
    <xf numFmtId="0" fontId="4" fillId="2" borderId="22" xfId="0">
      <alignment horizontal="center" vertical="center"/>
    </xf>
    <xf numFmtId="0" fontId="9" fillId="3" borderId="23" xfId="0">
      <alignment horizontal="center" vertical="center" wrapText="false"/>
    </xf>
    <xf numFmtId="0" fontId="10" fillId="3" borderId="23" xfId="0">
      <alignment horizontal="center" vertical="center" wrapText="false"/>
    </xf>
    <xf numFmtId="0" fontId="4" fillId="3" borderId="24" xfId="0">
      <alignment horizontal="center" vertical="center"/>
    </xf>
    <xf numFmtId="0" fontId="15" fillId="3" borderId="24" xfId="0">
      <alignment horizontal="center" vertical="center"/>
    </xf>
    <xf numFmtId="0" fontId="9" fillId="3" borderId="24" xfId="0">
      <alignment horizontal="center" vertical="center" wrapText="false"/>
    </xf>
    <xf numFmtId="0" fontId="4" fillId="3" borderId="24" xfId="0">
      <alignment horizontal="justify" vertical="center"/>
    </xf>
    <xf numFmtId="0" fontId="5" fillId="4" borderId="4" xfId="0">
      <alignment horizontal="center" vertical="center" wrapText="false"/>
    </xf>
    <xf numFmtId="0" fontId="5" fillId="9" borderId="4" xfId="0">
      <alignment horizontal="center" vertical="center"/>
    </xf>
    <xf numFmtId="0" fontId="4" fillId="3" borderId="25" xfId="0">
      <alignment horizontal="justify" vertical="center"/>
    </xf>
    <xf numFmtId="0" fontId="6" fillId="3" borderId="25" xfId="0">
      <alignment horizontal="center" vertical="center"/>
    </xf>
    <xf numFmtId="0" fontId="6" fillId="3" borderId="26" xfId="0">
      <alignment horizontal="center" vertical="center"/>
    </xf>
    <xf numFmtId="0" fontId="4" fillId="2" borderId="27" xfId="0">
      <alignment horizontal="center" vertical="center"/>
    </xf>
    <xf numFmtId="0" fontId="9" fillId="3" borderId="28" xfId="0">
      <alignment horizontal="center" vertical="center" wrapText="false"/>
    </xf>
    <xf numFmtId="0" fontId="10" fillId="3" borderId="28" xfId="0">
      <alignment horizontal="center" vertical="center" wrapText="false"/>
    </xf>
    <xf numFmtId="0" fontId="4" fillId="3" borderId="29" xfId="0">
      <alignment horizontal="center" vertical="center" wrapText="true"/>
    </xf>
    <xf numFmtId="0" fontId="16" fillId="3" borderId="12" xfId="0">
      <alignment horizontal="center" vertical="center"/>
    </xf>
    <xf numFmtId="0" fontId="16" fillId="5" borderId="30" xfId="0">
      <alignment horizontal="center" vertical="center"/>
    </xf>
    <xf numFmtId="300" fontId="4" fillId="3" borderId="12" xfId="0">
      <alignment horizontal="center" vertical="center"/>
    </xf>
    <xf numFmtId="0" fontId="8" fillId="3" borderId="12" xfId="0">
      <alignment horizontal="justify" vertical="center"/>
    </xf>
    <xf numFmtId="0" fontId="14" fillId="4" borderId="14" xfId="0">
      <alignment horizontal="justify" vertical="center"/>
    </xf>
    <xf numFmtId="0" fontId="5" fillId="9" borderId="14" xfId="0">
      <alignment horizontal="center" vertical="center"/>
    </xf>
    <xf fontId="0" fillId="0" borderId="31" xfId="0">
      <alignment vertical="center"/>
    </xf>
    <xf numFmtId="0" fontId="9" fillId="3" borderId="20" xfId="0">
      <alignment horizontal="center" vertical="center" wrapText="false"/>
    </xf>
    <xf fontId="0" fillId="0" borderId="32" xfId="0">
      <alignment vertical="center"/>
    </xf>
    <xf numFmtId="0" fontId="16" fillId="3" borderId="18" xfId="0">
      <alignment horizontal="center" vertical="center"/>
    </xf>
    <xf numFmtId="0" fontId="10" fillId="3" borderId="21" xfId="0">
      <alignment horizontal="center" vertical="center" wrapText="false"/>
    </xf>
    <xf numFmtId="300" fontId="4" fillId="3" borderId="18" xfId="0">
      <alignment horizontal="center" vertical="center"/>
    </xf>
    <xf numFmtId="0" fontId="8" fillId="3" borderId="18" xfId="0">
      <alignment horizontal="justify" vertical="center"/>
    </xf>
    <xf numFmtId="0" fontId="5" fillId="9" borderId="33" xfId="0">
      <alignment horizontal="center" vertical="center"/>
    </xf>
    <xf numFmtId="0" fontId="17" fillId="4" borderId="0" xfId="0">
      <alignment horizontal="center" vertical="center" wrapText="false"/>
    </xf>
    <xf numFmtId="0" fontId="18" fillId="4" borderId="0" xfId="0">
      <alignment horizontal="center" vertical="center" wrapText="false"/>
    </xf>
    <xf numFmtId="0" fontId="19" fillId="4" borderId="0" xfId="0">
      <alignment horizontal="center" vertical="center" wrapText="true"/>
    </xf>
    <xf numFmtId="0" fontId="20" fillId="4" borderId="0" xfId="0">
      <alignment horizontal="center" vertical="center"/>
    </xf>
    <xf numFmtId="0" fontId="4" fillId="3" borderId="0" xfId="0">
      <alignment horizontal="center" vertical="center"/>
    </xf>
    <xf numFmtId="0" fontId="9" fillId="3" borderId="0" xfId="0">
      <alignment horizontal="center" vertical="center" wrapText="false"/>
    </xf>
    <xf numFmtId="0" fontId="5" fillId="4" borderId="0" xfId="0">
      <alignment horizontal="center" vertical="center"/>
    </xf>
    <xf numFmtId="300" fontId="5" fillId="10" borderId="0" xfId="0">
      <alignment horizontal="center" vertical="center"/>
    </xf>
    <xf numFmtId="0" fontId="21" fillId="4" borderId="0" xfId="0">
      <alignment horizontal="justify" vertical="center"/>
    </xf>
    <xf numFmtId="0" fontId="22" fillId="4" borderId="34" xfId="0">
      <alignment horizontal="center" vertical="center"/>
    </xf>
    <xf numFmtId="0" fontId="4" fillId="3" borderId="18" xfId="0">
      <alignment horizontal="justify" vertical="center"/>
    </xf>
    <xf numFmtId="0" fontId="23" fillId="3" borderId="18" xfId="0">
      <alignment horizontal="center" vertical="center" wrapText="true"/>
    </xf>
    <xf numFmtId="0" fontId="4" fillId="5" borderId="21" xfId="0">
      <alignment horizontal="center" vertical="center"/>
    </xf>
    <xf numFmtId="0" fontId="4" fillId="5" borderId="18" xfId="0">
      <alignment horizontal="center" vertical="center"/>
    </xf>
    <xf numFmtId="0" fontId="11" fillId="4" borderId="0" xfId="0">
      <alignment horizontal="justify" vertical="center"/>
    </xf>
    <xf numFmtId="0" fontId="5" fillId="11" borderId="33" xfId="0">
      <alignment horizontal="center" vertical="center"/>
    </xf>
    <xf numFmtId="0" fontId="5" fillId="4" borderId="0" xfId="0">
      <alignment horizontal="center" vertical="center" wrapText="true"/>
    </xf>
    <xf numFmtId="0" fontId="17" fillId="3" borderId="0" xfId="0">
      <alignment horizontal="center" vertical="center" wrapText="false"/>
    </xf>
    <xf numFmtId="0" fontId="24" fillId="4" borderId="0" xfId="0">
      <alignment horizontal="center" vertical="center"/>
    </xf>
    <xf numFmtId="0" fontId="25" fillId="3" borderId="5" xfId="0">
      <alignment horizontal="justify" vertical="center"/>
    </xf>
    <xf numFmtId="0" fontId="9" fillId="3" borderId="35" xfId="0">
      <alignment horizontal="center" vertical="center" wrapText="false"/>
    </xf>
    <xf numFmtId="0" fontId="23" fillId="5" borderId="36" xfId="0">
      <alignment horizontal="center" vertical="center" wrapText="true"/>
    </xf>
    <xf fontId="0" fillId="0" borderId="37" xfId="0">
      <alignment vertical="center"/>
    </xf>
    <xf numFmtId="0" fontId="9" fillId="3" borderId="38" xfId="0">
      <alignment horizontal="center" vertical="center" wrapText="false"/>
    </xf>
    <xf fontId="0" fillId="0" borderId="39" xfId="0">
      <alignment vertical="center"/>
    </xf>
    <xf numFmtId="0" fontId="26" fillId="4" borderId="0" xfId="0">
      <alignment horizontal="justify" vertical="center"/>
    </xf>
    <xf fontId="0" fillId="0" borderId="40" xfId="0">
      <alignment vertical="center"/>
    </xf>
    <xf numFmtId="0" fontId="18" fillId="4" borderId="41" xfId="0">
      <alignment horizontal="center" vertical="center" wrapText="false"/>
    </xf>
    <xf fontId="0" fillId="0" borderId="42" xfId="0">
      <alignment vertical="center"/>
    </xf>
    <xf numFmtId="300" fontId="4" fillId="3" borderId="24" xfId="0">
      <alignment horizontal="center" vertical="center"/>
    </xf>
    <xf numFmtId="0" fontId="4" fillId="2" borderId="43" xfId="0">
      <alignment horizontal="center" vertical="center"/>
    </xf>
    <xf numFmtId="0" fontId="4" fillId="5" borderId="13" xfId="0">
      <alignment horizontal="center" vertical="center"/>
    </xf>
    <xf numFmtId="0" fontId="8" fillId="3" borderId="13" xfId="0">
      <alignment horizontal="center" vertical="center"/>
    </xf>
    <xf numFmtId="0" fontId="4" fillId="3" borderId="13" xfId="0">
      <alignment horizontal="center" vertical="center"/>
    </xf>
    <xf numFmtId="300" fontId="4" fillId="3" borderId="13" xfId="0">
      <alignment horizontal="center" vertical="center"/>
    </xf>
    <xf numFmtId="0" fontId="25" fillId="2" borderId="5" xfId="0">
      <alignment horizontal="center" vertical="center"/>
    </xf>
    <xf numFmtId="0" fontId="27" fillId="4" borderId="0" xfId="0">
      <alignment horizontal="center" vertical="center" wrapText="false"/>
    </xf>
    <xf numFmtId="0" fontId="28" fillId="3" borderId="5" xfId="0">
      <alignment horizontal="center" vertical="center" wrapText="false"/>
    </xf>
    <xf numFmtId="0" fontId="29" fillId="5" borderId="44" xfId="0">
      <alignment horizontal="center" vertical="center"/>
    </xf>
    <xf numFmtId="0" fontId="5" fillId="12" borderId="0" xfId="0">
      <alignment horizontal="center" vertical="center"/>
    </xf>
    <xf numFmtId="300" fontId="5" fillId="4" borderId="0" xfId="0">
      <alignment horizontal="center" vertical="center"/>
    </xf>
    <xf numFmtId="0" fontId="10" fillId="3" borderId="0" xfId="0">
      <alignment horizontal="center" vertical="center" wrapText="false"/>
    </xf>
    <xf numFmtId="0" fontId="7" fillId="5" borderId="45" xfId="0">
      <alignment horizontal="center" vertical="center"/>
    </xf>
    <xf numFmtId="0" fontId="4" fillId="5" borderId="45" xfId="0">
      <alignment horizontal="center" vertical="center"/>
    </xf>
    <xf numFmtId="0" fontId="30" fillId="3" borderId="5" xfId="0">
      <alignment horizontal="center" vertical="center" wrapText="false"/>
    </xf>
    <xf numFmtId="0" fontId="10" fillId="5" borderId="0" xfId="0">
      <alignment horizontal="center" vertical="center" wrapText="false"/>
    </xf>
    <xf numFmtId="0" fontId="4" fillId="3" borderId="5" xfId="0">
      <alignment horizontal="center" vertical="center"/>
    </xf>
    <xf numFmtId="0" fontId="4" fillId="2" borderId="46" xfId="0">
      <alignment horizontal="center" vertical="center"/>
    </xf>
    <xf numFmtId="0" fontId="9" fillId="3" borderId="47" xfId="0">
      <alignment horizontal="center" vertical="center" wrapText="false"/>
    </xf>
    <xf numFmtId="0" fontId="10" fillId="5" borderId="41" xfId="0">
      <alignment horizontal="center" vertical="center" wrapText="false"/>
    </xf>
    <xf numFmtId="0" fontId="4" fillId="3" borderId="48" xfId="0">
      <alignment horizontal="center" vertical="center"/>
    </xf>
    <xf numFmtId="0" fontId="8" fillId="3" borderId="48" xfId="0">
      <alignment horizontal="center" vertical="center"/>
    </xf>
    <xf numFmtId="0" fontId="9" fillId="3" borderId="49" xfId="0">
      <alignment horizontal="center" vertical="center" wrapText="false"/>
    </xf>
    <xf numFmtId="300" fontId="4" fillId="3" borderId="48" xfId="0">
      <alignment horizontal="center" vertical="center"/>
    </xf>
    <xf numFmtId="0" fontId="4" fillId="3" borderId="49" xfId="0">
      <alignment horizontal="justify" vertical="center"/>
    </xf>
    <xf numFmtId="0" fontId="5" fillId="4" borderId="50" xfId="0">
      <alignment horizontal="justify" vertical="center"/>
    </xf>
    <xf numFmtId="0" fontId="5" fillId="4" borderId="50" xfId="0">
      <alignment horizontal="center" vertical="center" wrapText="false"/>
    </xf>
    <xf numFmtId="0" fontId="5" fillId="9" borderId="50" xfId="0">
      <alignment horizontal="center" vertical="center"/>
    </xf>
    <xf numFmtId="0" fontId="6" fillId="3" borderId="49" xfId="0">
      <alignment horizontal="center" vertical="center"/>
    </xf>
    <xf numFmtId="0" fontId="6" fillId="3" borderId="51" xfId="0">
      <alignment horizontal="center" vertical="center"/>
    </xf>
    <xf numFmtId="0" fontId="31" fillId="3" borderId="52" xfId="0">
      <alignment horizontal="center" vertical="center" wrapText="false"/>
    </xf>
    <xf numFmtId="0" fontId="10" fillId="5" borderId="4" xfId="0">
      <alignment horizontal="center" vertical="center" wrapText="false"/>
    </xf>
    <xf numFmtId="0" fontId="32" fillId="3" borderId="12" xfId="0">
      <alignment horizontal="center" vertical="center"/>
    </xf>
    <xf numFmtId="0" fontId="15" fillId="3" borderId="12" xfId="0">
      <alignment horizontal="center" vertical="center"/>
    </xf>
    <xf numFmtId="0" fontId="9" fillId="3" borderId="44" xfId="0">
      <alignment horizontal="center" vertical="center" wrapText="false"/>
    </xf>
    <xf numFmtId="0" fontId="5" fillId="4" borderId="14" xfId="0">
      <alignment horizontal="general" vertical="center" wrapText="false"/>
    </xf>
    <xf numFmtId="0" fontId="33" fillId="9" borderId="14" xfId="0">
      <alignment horizontal="center" vertical="center"/>
    </xf>
    <xf numFmtId="0" fontId="5" fillId="4" borderId="14" xfId="0">
      <alignment horizontal="justify" vertical="center"/>
    </xf>
    <xf numFmtId="0" fontId="31" fillId="3" borderId="17" xfId="0">
      <alignment horizontal="center" vertical="center" wrapText="false"/>
    </xf>
    <xf numFmtId="0" fontId="32" fillId="3" borderId="18" xfId="0">
      <alignment horizontal="center" vertical="center"/>
    </xf>
    <xf numFmtId="0" fontId="25" fillId="3" borderId="5" xfId="0">
      <alignment horizontal="center" vertical="center"/>
    </xf>
    <xf numFmtId="0" fontId="5" fillId="4" borderId="0" xfId="0">
      <alignment horizontal="general" vertical="center" wrapText="false"/>
    </xf>
    <xf numFmtId="0" fontId="4" fillId="3" borderId="16" xfId="0">
      <alignment horizontal="center" vertical="center"/>
    </xf>
    <xf numFmtId="0" fontId="31" fillId="3" borderId="0" xfId="0">
      <alignment horizontal="center" vertical="center" wrapText="false"/>
    </xf>
    <xf numFmtId="0" fontId="15" fillId="3" borderId="18" xfId="0">
      <alignment horizontal="center" vertical="center"/>
    </xf>
    <xf numFmtId="0" fontId="4" fillId="3" borderId="4" xfId="0">
      <alignment horizontal="justify" vertical="center"/>
    </xf>
    <xf numFmtId="0" fontId="5" fillId="4" borderId="4" xfId="0">
      <alignment horizontal="justify" vertical="center"/>
    </xf>
    <xf numFmtId="0" fontId="34" fillId="3" borderId="0" xfId="0">
      <alignment horizontal="center" vertical="center" wrapText="false"/>
    </xf>
    <xf numFmtId="0" fontId="35" fillId="4" borderId="0" xfId="0">
      <alignment horizontal="center" vertical="center"/>
    </xf>
    <xf numFmtId="0" fontId="5" fillId="3" borderId="0" xfId="0">
      <alignment horizontal="center" vertical="center"/>
    </xf>
    <xf fontId="0" fillId="0" borderId="53" xfId="0">
      <alignment vertical="center"/>
    </xf>
    <xf fontId="0" fillId="0" borderId="54" xfId="0">
      <alignment vertical="center"/>
    </xf>
    <xf numFmtId="0" fontId="35" fillId="4" borderId="4" xfId="0">
      <alignment horizontal="center" vertical="center"/>
    </xf>
    <xf numFmtId="0" fontId="5" fillId="4" borderId="4" xfId="0">
      <alignment horizontal="center" vertical="center"/>
    </xf>
    <xf fontId="0" fillId="0" borderId="55" xfId="0">
      <alignment vertical="center"/>
    </xf>
    <xf numFmtId="0" fontId="34" fillId="5" borderId="0" xfId="0">
      <alignment horizontal="center" vertical="center" wrapText="false"/>
    </xf>
    <xf numFmtId="0" fontId="10" fillId="5" borderId="56" xfId="0">
      <alignment horizontal="center" vertical="center" wrapText="false"/>
    </xf>
    <xf numFmtId="0" fontId="5" fillId="9" borderId="33" xfId="0">
      <alignment horizontal="center" vertical="center" wrapText="true"/>
    </xf>
    <xf numFmtId="0" fontId="17" fillId="12" borderId="0" xfId="0">
      <alignment horizontal="center" vertical="center" wrapText="false"/>
    </xf>
    <xf numFmtId="0" fontId="18" fillId="12" borderId="0" xfId="0">
      <alignment horizontal="center" vertical="center" wrapText="false"/>
    </xf>
    <xf numFmtId="0" fontId="20" fillId="4" borderId="0" xfId="0">
      <alignment horizontal="left" vertical="center" wrapText="true"/>
    </xf>
    <xf numFmtId="0" fontId="5" fillId="12" borderId="0" xfId="0">
      <alignment horizontal="general" vertical="center" wrapText="false"/>
    </xf>
    <xf numFmtId="0" fontId="34" fillId="4" borderId="0" xfId="0">
      <alignment horizontal="center" vertical="center" wrapText="false"/>
    </xf>
    <xf numFmtId="0" fontId="33" fillId="9" borderId="0" xfId="0">
      <alignment horizontal="center" vertical="center"/>
    </xf>
    <xf numFmtId="0" fontId="4" fillId="13" borderId="22" xfId="0">
      <alignment horizontal="center" vertical="center"/>
    </xf>
    <xf numFmtId="0" fontId="32" fillId="3" borderId="24" xfId="0">
      <alignment horizontal="center" vertical="center"/>
    </xf>
    <xf numFmtId="0" fontId="8" fillId="3" borderId="24" xfId="0">
      <alignment horizontal="center" vertical="center"/>
    </xf>
    <xf numFmtId="0" fontId="4" fillId="3" borderId="45" xfId="0">
      <alignment horizontal="center" vertical="center"/>
    </xf>
    <xf numFmtId="0" fontId="9" fillId="3" borderId="45" xfId="0">
      <alignment horizontal="center" vertical="center" wrapText="false"/>
    </xf>
    <xf numFmtId="0" fontId="4" fillId="3" borderId="36" xfId="0">
      <alignment horizontal="center" vertical="center"/>
    </xf>
    <xf numFmtId="0" fontId="9" fillId="3" borderId="36" xfId="0">
      <alignment horizontal="center" vertical="center" wrapText="false"/>
    </xf>
    <xf numFmtId="300" fontId="4" fillId="14" borderId="18" xfId="0">
      <alignment horizontal="center" vertical="center"/>
    </xf>
    <xf numFmtId="0" fontId="31" fillId="3" borderId="21" xfId="0">
      <alignment horizontal="center" vertical="center" wrapText="false"/>
    </xf>
    <xf numFmtId="0" fontId="16" fillId="3" borderId="24" xfId="0">
      <alignment horizontal="center" vertical="center"/>
    </xf>
    <xf numFmtId="0" fontId="4" fillId="5" borderId="24" xfId="0">
      <alignment horizontal="center" vertical="center"/>
    </xf>
    <xf numFmtId="0" fontId="4" fillId="3" borderId="25" xfId="0">
      <alignment horizontal="center" vertical="center"/>
    </xf>
    <xf numFmtId="0" fontId="4" fillId="2" borderId="5" xfId="0">
      <alignment horizontal="center" vertical="center"/>
    </xf>
    <xf numFmtId="0" fontId="4" fillId="3" borderId="57" xfId="0">
      <alignment horizontal="center" vertical="center"/>
    </xf>
    <xf numFmtId="0" fontId="4" fillId="13" borderId="16" xfId="0">
      <alignment horizontal="center" vertical="center"/>
    </xf>
    <xf numFmtId="0" fontId="31" fillId="3" borderId="23" xfId="0">
      <alignment horizontal="center" vertical="center" wrapText="false"/>
    </xf>
    <xf numFmtId="0" fontId="14" fillId="4" borderId="4" xfId="0">
      <alignment horizontal="justify" vertical="center"/>
    </xf>
    <xf numFmtId="0" fontId="5" fillId="12" borderId="4" xfId="0">
      <alignment horizontal="general" vertical="center" wrapText="false"/>
    </xf>
    <xf numFmtId="0" fontId="8" fillId="3" borderId="0" xfId="0">
      <alignment horizontal="center" vertical="center"/>
    </xf>
    <xf numFmtId="0" fontId="4" fillId="3" borderId="0" xfId="0">
      <alignment horizontal="justify" vertical="center"/>
    </xf>
    <xf fontId="0" fillId="0" borderId="58" xfId="0">
      <alignment vertical="center"/>
    </xf>
    <xf numFmtId="0" fontId="5" fillId="3" borderId="4" xfId="0">
      <alignment horizontal="general" vertical="center" wrapText="false"/>
    </xf>
    <xf numFmtId="0" fontId="5" fillId="2" borderId="4" xfId="0">
      <alignment horizontal="center" vertical="center"/>
    </xf>
    <xf numFmtId="0" fontId="6" fillId="3" borderId="0" xfId="0">
      <alignment horizontal="center" vertical="center"/>
    </xf>
    <xf numFmtId="0" fontId="6" fillId="3" borderId="34" xfId="0">
      <alignment horizontal="center" vertical="center"/>
    </xf>
    <xf numFmtId="0" fontId="22" fillId="4" borderId="0" xfId="0">
      <alignment horizontal="center" vertical="center"/>
    </xf>
    <xf numFmtId="0" fontId="18" fillId="3" borderId="0" xfId="0">
      <alignment horizontal="center" vertical="center" wrapText="false"/>
    </xf>
    <xf numFmtId="0" fontId="20" fillId="3" borderId="0" xfId="0">
      <alignment horizontal="center" vertical="center"/>
    </xf>
    <xf numFmtId="0" fontId="5" fillId="3" borderId="0" xfId="0">
      <alignment horizontal="justify" vertical="center"/>
    </xf>
    <xf numFmtId="0" fontId="5" fillId="5" borderId="0" xfId="0">
      <alignment horizontal="general" vertical="center" wrapText="false"/>
    </xf>
    <xf numFmtId="0" fontId="5" fillId="2" borderId="0" xfId="0">
      <alignment horizontal="center" vertical="center"/>
    </xf>
    <xf numFmtId="0" fontId="22" fillId="3" borderId="0" xfId="0">
      <alignment horizontal="center" vertical="center"/>
    </xf>
    <xf numFmtId="0" fontId="22" fillId="3" borderId="34" xfId="0">
      <alignment horizontal="center" vertical="center"/>
    </xf>
    <xf numFmtId="0" fontId="8" fillId="3" borderId="57" xfId="0">
      <alignment horizontal="center" vertical="center"/>
    </xf>
    <xf numFmtId="0" fontId="4" fillId="3" borderId="59" xfId="0">
      <alignment horizontal="center" vertical="center"/>
    </xf>
    <xf numFmtId="0" fontId="5" fillId="3" borderId="0" xfId="0">
      <alignment horizontal="general" vertical="center" wrapText="false"/>
    </xf>
    <xf numFmtId="0" fontId="5" fillId="2" borderId="33" xfId="0">
      <alignment horizontal="center" vertical="center"/>
    </xf>
    <xf numFmtId="0" fontId="4" fillId="3" borderId="4" xfId="0">
      <alignment horizontal="center" vertical="center"/>
    </xf>
    <xf fontId="36" fillId="15" borderId="0" xfId="0">
      <alignment horizontal="center" vertical="center"/>
    </xf>
    <xf numFmtId="0" fontId="8" fillId="5" borderId="0" xfId="0">
      <alignment horizontal="center" vertical="center"/>
    </xf>
    <xf numFmtId="0" fontId="5" fillId="5" borderId="0" xfId="0">
      <alignment horizontal="center" vertical="center"/>
    </xf>
    <xf numFmtId="0" fontId="5" fillId="5" borderId="0" xfId="0">
      <alignment horizontal="justify" vertical="center"/>
    </xf>
    <xf numFmtId="0" fontId="4" fillId="2" borderId="60" xfId="0">
      <alignment horizontal="center" vertical="center"/>
    </xf>
    <xf numFmtId="0" fontId="4" fillId="5" borderId="59" xfId="0">
      <alignment horizontal="center" vertical="center"/>
    </xf>
    <xf numFmtId="0" fontId="25" fillId="3" borderId="0" xfId="0">
      <alignment horizontal="center" vertical="center"/>
    </xf>
    <xf numFmtId="0" fontId="4" fillId="5" borderId="4" xfId="0">
      <alignment horizontal="general" vertical="center" wrapText="false"/>
    </xf>
    <xf numFmtId="0" fontId="4" fillId="2" borderId="61" xfId="0">
      <alignment horizontal="center" vertical="center"/>
    </xf>
    <xf numFmtId="0" fontId="10" fillId="3" borderId="38" xfId="0">
      <alignment horizontal="center" vertical="center" wrapText="false"/>
    </xf>
    <xf numFmtId="0" fontId="9" fillId="3" borderId="57" xfId="0">
      <alignment horizontal="center" vertical="center" wrapText="false"/>
    </xf>
    <xf numFmtId="0" fontId="25" fillId="3" borderId="57" xfId="0">
      <alignment horizontal="center" vertical="center"/>
    </xf>
    <xf numFmtId="0" fontId="4" fillId="3" borderId="57" xfId="0">
      <alignment horizontal="justify" vertical="center"/>
    </xf>
    <xf numFmtId="0" fontId="6" fillId="3" borderId="57" xfId="0">
      <alignment horizontal="center" vertical="center"/>
    </xf>
    <xf numFmtId="0" fontId="6" fillId="3" borderId="62" xfId="0">
      <alignment horizontal="center" vertical="center"/>
    </xf>
    <xf numFmtId="300" fontId="12" fillId="3" borderId="57" xfId="0">
      <alignment horizontal="center" vertical="center"/>
    </xf>
    <xf numFmtId="0" fontId="4" fillId="2" borderId="37" xfId="0">
      <alignment horizontal="center" vertical="center"/>
    </xf>
    <xf numFmtId="0" fontId="4" fillId="3" borderId="39" xfId="0">
      <alignment horizontal="center" vertical="center"/>
    </xf>
    <xf numFmtId="0" fontId="8" fillId="3" borderId="39" xfId="0">
      <alignment horizontal="center" vertical="center" wrapText="true"/>
    </xf>
    <xf numFmtId="0" fontId="4" fillId="3" borderId="4" xfId="0">
      <alignment vertical="center"/>
    </xf>
    <xf numFmtId="0" fontId="4" fillId="3" borderId="4" xfId="0">
      <alignment horizontal="general" vertical="center" wrapText="false"/>
    </xf>
    <xf numFmtId="0" fontId="4" fillId="2" borderId="40" xfId="0">
      <alignment horizontal="center" vertical="center"/>
    </xf>
    <xf numFmtId="0" fontId="4" fillId="3" borderId="42" xfId="0">
      <alignment horizontal="center" vertical="center"/>
    </xf>
    <xf numFmtId="0" fontId="8" fillId="3" borderId="42" xfId="0">
      <alignment horizontal="center" vertical="center" wrapText="true"/>
    </xf>
    <xf numFmtId="0" fontId="4" fillId="2" borderId="63" xfId="0">
      <alignment horizontal="center" vertical="center"/>
    </xf>
    <xf numFmtId="0" fontId="8" fillId="3" borderId="4" xfId="0">
      <alignment horizontal="center" vertical="center" wrapText="true"/>
    </xf>
    <xf numFmtId="0" fontId="4" fillId="2" borderId="64" xfId="0">
      <alignment horizontal="center" vertical="center"/>
    </xf>
    <xf numFmtId="0" fontId="9" fillId="3" borderId="65" xfId="0">
      <alignment horizontal="center" vertical="center" wrapText="false"/>
    </xf>
    <xf numFmtId="0" fontId="10" fillId="3" borderId="65" xfId="0">
      <alignment horizontal="center" vertical="center" wrapText="false"/>
    </xf>
    <xf numFmtId="0" fontId="4" fillId="3" borderId="66" xfId="0">
      <alignment horizontal="center" vertical="center"/>
    </xf>
    <xf numFmtId="0" fontId="8" fillId="3" borderId="66" xfId="0">
      <alignment horizontal="center" vertical="center"/>
    </xf>
    <xf numFmtId="0" fontId="9" fillId="3" borderId="66" xfId="0">
      <alignment horizontal="center" vertical="center" wrapText="false"/>
    </xf>
    <xf numFmtId="0" fontId="25" fillId="3" borderId="66" xfId="0">
      <alignment horizontal="center" vertical="center"/>
    </xf>
    <xf numFmtId="0" fontId="4" fillId="3" borderId="66" xfId="0">
      <alignment horizontal="justify" vertical="center"/>
    </xf>
    <xf numFmtId="0" fontId="4" fillId="5" borderId="66" xfId="0">
      <alignment horizontal="general" vertical="center" wrapText="false"/>
    </xf>
    <xf numFmtId="0" fontId="5" fillId="12" borderId="67" xfId="0">
      <alignment horizontal="center" vertical="center"/>
    </xf>
    <xf numFmtId="0" fontId="6" fillId="3" borderId="66" xfId="0">
      <alignment horizontal="center" vertical="center"/>
    </xf>
    <xf numFmtId="0" fontId="6" fillId="3" borderId="68" xfId="0">
      <alignment horizontal="center" vertical="center"/>
    </xf>
    <xf numFmtId="0" fontId="37" fillId="4" borderId="0" xfId="0">
      <alignment vertical="center" wrapText="false"/>
    </xf>
    <xf numFmtId="0" fontId="20" fillId="4" borderId="0" xfId="0">
      <alignment horizontal="justify" vertical="center"/>
    </xf>
    <xf numFmtId="0" fontId="20" fillId="4" borderId="0" xfId="0">
      <alignment horizontal="general" vertical="center" wrapText="false"/>
    </xf>
    <xf fontId="36" fillId="0" borderId="0" xfId="0">
      <alignment horizontal="center" vertical="center"/>
    </xf>
    <xf numFmtId="0" fontId="5" fillId="16" borderId="0" xfId="0">
      <alignment horizontal="center" vertical="center"/>
    </xf>
    <xf numFmtId="0" fontId="30" fillId="3" borderId="5" xfId="0">
      <alignment vertical="center" wrapText="false"/>
    </xf>
    <xf numFmtId="0" fontId="22" fillId="4" borderId="0" xfId="0">
      <alignment horizontal="center" vertical="center"/>
    </xf>
    <xf numFmtId="0" fontId="22" fillId="12" borderId="0" xfId="0">
      <alignment horizontal="center" vertical="center"/>
    </xf>
    <xf fontId="38" fillId="0" borderId="0" xfId="0">
      <alignment vertical="center"/>
    </xf>
    <xf fontId="39" fillId="17" borderId="69" xfId="0">
      <alignment horizontal="center" vertical="center" textRotation="0" wrapText="true" indent="0" justifyLastLine="false" shrinkToFit="false"/>
    </xf>
    <xf fontId="39" fillId="17" borderId="69" xfId="0">
      <alignment horizontal="center" vertical="center" wrapText="true"/>
    </xf>
    <xf fontId="40" fillId="0" borderId="69" xfId="0">
      <alignment vertical="center" textRotation="0" wrapText="true" indent="0" justifyLastLine="false" shrinkToFit="false"/>
    </xf>
    <xf fontId="37" fillId="0" borderId="69" xfId="0">
      <alignment vertical="center" wrapText="false"/>
    </xf>
    <xf fontId="40" fillId="0" borderId="69" xfId="0">
      <alignment vertical="center" wrapText="true"/>
    </xf>
    <xf fontId="40" fillId="0" borderId="0" xfId="0">
      <alignment vertical="center" textRotation="0" wrapText="true" indent="0" justifyLastLine="false" shrinkToFit="false"/>
    </xf>
    <xf fontId="37" fillId="0" borderId="0" xfId="0">
      <alignment vertical="center" wrapText="false"/>
    </xf>
    <xf fontId="40" fillId="0" borderId="0" xfId="0">
      <alignment vertical="center" wrapText="true"/>
    </xf>
    <xf numFmtId="49" fontId="40" fillId="0" borderId="0" xfId="0">
      <alignment horizontal="left" vertical="center" textRotation="0" wrapText="true" indent="0" justifyLastLine="false" shrinkToFit="false"/>
    </xf>
    <xf fontId="40" fillId="0" borderId="0" xfId="0">
      <alignment vertical="center"/>
    </xf>
    <xf numFmtId="0" fontId="37" fillId="0" borderId="0" xfId="0">
      <alignment vertical="center" wrapText="false"/>
    </xf>
    <xf numFmtId="0" fontId="40" fillId="0" borderId="0" xfId="0">
      <alignment vertical="center" wrapText="true"/>
    </xf>
    <xf numFmtId="49" fontId="40" fillId="0" borderId="69" xfId="0">
      <alignment horizontal="left" vertical="center" textRotation="0" wrapText="true" indent="0" justifyLastLine="false" shrinkToFit="false"/>
    </xf>
    <xf fontId="30" fillId="0" borderId="0" xfId="0">
      <alignment vertical="center" wrapText="false"/>
    </xf>
    <xf fontId="41" fillId="0" borderId="0" xfId="0">
      <alignment vertical="center" wrapText="false"/>
    </xf>
    <xf fontId="0" fillId="0" borderId="0" xfId="0">
      <alignment vertical="center" wrapText="false"/>
    </xf>
    <xf numFmtId="301" fontId="42" fillId="6" borderId="8" xfId="0">
      <alignment horizontal="center" vertical="center"/>
    </xf>
    <xf fontId="0" fillId="0" borderId="14" xfId="0">
      <alignment vertical="center"/>
    </xf>
    <xf fontId="0" fillId="0" borderId="4" xfId="0">
      <alignment vertical="center"/>
    </xf>
    <xf fontId="0" fillId="0" borderId="50" xfId="0">
      <alignment vertical="center"/>
    </xf>
    <xf fontId="0" fillId="0" borderId="67" xfId="0">
      <alignment vertical="center"/>
    </xf>
    <xf numFmtId="301" fontId="4" fillId="2" borderId="18" xfId="0">
      <alignment horizontal="center" vertical="center"/>
    </xf>
    <xf numFmtId="301" fontId="4" fillId="3" borderId="5" xfId="0">
      <alignment horizontal="center" vertical="center"/>
    </xf>
    <xf numFmtId="301" fontId="7" fillId="3" borderId="5" xfId="0">
      <alignment horizontal="center" vertical="center"/>
    </xf>
    <xf numFmtId="301" fontId="4" fillId="3" borderId="18" xfId="0">
      <alignment horizontal="center" vertical="center"/>
    </xf>
    <xf numFmtId="301" fontId="8" fillId="3" borderId="18" xfId="0">
      <alignment horizontal="center" vertical="center"/>
    </xf>
    <xf numFmtId="301" fontId="4" fillId="3" borderId="18" xfId="0">
      <alignment horizontal="justify" vertical="center"/>
    </xf>
    <xf numFmtId="301" fontId="4" fillId="3" borderId="5" xfId="0">
      <alignment horizontal="justify" vertical="center"/>
    </xf>
    <xf numFmtId="301" fontId="4" fillId="3" borderId="5" xfId="0">
      <alignment horizontal="general" vertical="center" wrapText="false"/>
    </xf>
    <xf numFmtId="301" fontId="42" fillId="3" borderId="18" xfId="0">
      <alignment horizontal="center" vertical="center"/>
    </xf>
    <xf fontId="43" fillId="18" borderId="69" xfId="0">
      <alignment horizontal="center" vertical="center"/>
    </xf>
    <xf fontId="0" fillId="0" borderId="69" xfId="0">
      <alignment vertical="center"/>
    </xf>
    <xf fontId="38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9" Type="http://schemas.openxmlformats.org/officeDocument/2006/relationships/hyperlink" Target="http://code.sangfor.org/SRI/SCIA/sync/sync-mongo2hive-job/blob/master/src2/scala/sync-mongo2hive/src/main/scala/com/sangfor/cloud/config/BaseConfig.scala" TargetMode="External"/><Relationship Id="rId8" Type="http://schemas.openxmlformats.org/officeDocument/2006/relationships/hyperlink" Target="http://code.sangfor.org/SRI/SCIA/oozie/oozie-sz/blob/master/src/scala/secevent-to-hive-batch/com/sangfor/cloud/secevent/batch/config/BaseConfig.scala" TargetMode="External"/><Relationship Id="rId7" Type="http://schemas.openxmlformats.org/officeDocument/2006/relationships/hyperlink" Target="http://code.sangfor.org/SRI/SCIA/warehouse/secevent-to-hive-partition-pruned-cron-job/blob/master/src/scala/secevent-to-hive-partition-pruned-cron-job/com/sangfor/cloud/warehouse/partition_pruned/conf/Config.scala" TargetMode="External"/><Relationship Id="rId6" Type="http://schemas.openxmlformats.org/officeDocument/2006/relationships/hyperlink" Target="http://code.sangfor.org/SRI/SCIA/vuln/vuln-assert-analysis/blob/master/src/scala/vuln-analysis/com.sangfor/vulnassertanalysis/dao/HiveUtil.scala" TargetMode="External"/><Relationship Id="rId56" Type="http://schemas.openxmlformats.org/officeDocument/2006/relationships/hyperlink" Target="http://code.sangfor.org/SRI/SCIA/TIBAE/black-ti-context-produce-prc/blob/master/app-sdk/soapa-sangfor-lib/python/active_info_update/config/active_stat_sql.py" TargetMode="External"/><Relationship Id="rId55" Type="http://schemas.openxmlformats.org/officeDocument/2006/relationships/hyperlink" Target="http://code.sangfor.org/SRI/SCIA/CIPD/DOMAIN/PRE/active-domain-elt-job/blob/master/app-sdk/soapa-sangfor-lib/python/configs/sql.py" TargetMode="External"/><Relationship Id="rId59" Type="http://schemas.openxmlformats.org/officeDocument/2006/relationships/hyperlink" Target="http://code.sangfor.org/SRI/SCIA/sp/sp-old-update-report-cron-job/blob/master/cron-job/sp_update_report/config.py" TargetMode="External"/><Relationship Id="rId54" Type="http://schemas.openxmlformats.org/officeDocument/2006/relationships/hyperlink" Target="http://code.sangfor.org/SRI/SCIA/FCC/ti-hot-data-detection-fusing-prc/blob/master/app-sdk/soapa-sangfor-lib/python/ti_hot_data_detection_fusing/core/core.py" TargetMode="External"/><Relationship Id="rId53" Type="http://schemas.openxmlformats.org/officeDocument/2006/relationships/hyperlink" Target="http://code.sangfor.org/SRI/SCIA/CIPD/IP/ti-ip-detection-send-prc/blob/master/src/soapa-app/pkg/ti-ip-detection-send-prc/core/ip_extractor.go" TargetMode="External"/><Relationship Id="rId52" Type="http://schemas.openxmlformats.org/officeDocument/2006/relationships/hyperlink" Target="http://code.sangfor.org/SRI/SCIA/datareport/cert-app-samplesync-job/blob/master/cron-job/sync_cert_app_sample_data/hive_manager.py" TargetMode="External"/><Relationship Id="rId51" Type="http://schemas.openxmlformats.org/officeDocument/2006/relationships/hyperlink" Target="http://code.sangfor.org/SRI/SCIA/datareport/cert-app-samplesync-country-job/blob/master/cron-job/sync_cert_app_country_sample_data/hive_manager.py" TargetMode="External"/><Relationship Id="rId57" Type="http://schemas.openxmlformats.org/officeDocument/2006/relationships/hyperlink" Target="http://code.sangfor.org/SRI/SCIA/CIPD/IP/ip-intelligence-dispatch-prc" TargetMode="External"/><Relationship Id="rId5" Type="http://schemas.openxmlformats.org/officeDocument/2006/relationships/hyperlink" Target="http://code.sangfor.org/SRI/SCIA/devid/asset-discovery-task/blob/master/src/scala/asset-discovery-task/src/com/sangfor/assetdiscovery/dao/HiveUtil.scala" TargetMode="External"/><Relationship Id="rId49" Type="http://schemas.openxmlformats.org/officeDocument/2006/relationships/hyperlink" Target="http://code.sangfor.org/SRI/SCIA/apt-hunting/apt-hunting-monitor-process-job/blob/master/cron-job/monitor_process/sql.py" TargetMode="External"/><Relationship Id="rId48" Type="http://schemas.openxmlformats.org/officeDocument/2006/relationships/hyperlink" Target="http://code.sangfor.org/SRI/SCIA/FRAME/assembly-workshop/blob/master/cipd/domain-heat-stats-cron-job/app-cfg/ShenZhen-product/second_level_domain.sql" TargetMode="External"/><Relationship Id="rId47" Type="http://schemas.openxmlformats.org/officeDocument/2006/relationships/hyperlink" Target="http://code.sangfor.org/SRI/SCIA/FRAME/assembly-workshop/blob/master/cipd/domain-heat-stats-cron-job/app-cfg/ShenZhen-product/cloud_domain.sql" TargetMode="External"/><Relationship Id="rId45" Type="http://schemas.openxmlformats.org/officeDocument/2006/relationships/hyperlink" Target="http://code.sangfor.org/SRI/SCIA/CIPD/URL/phishing-url-operation-prc/blob/master/app-sdk/soapa-sangfor-lib/python/common/config.py" TargetMode="External"/><Relationship Id="rId43" Type="http://schemas.openxmlformats.org/officeDocument/2006/relationships/hyperlink" Target="http://code.sangfor.org/SRI/SCIA/CIPD/DOMAIN/PRE/domain-security-log-etl-prc/blob/master/app-sdk/soapa-sangfor-lib/python/configs/config.py" TargetMode="External"/><Relationship Id="rId41" Type="http://schemas.openxmlformats.org/officeDocument/2006/relationships/hyperlink" Target="http://code.sangfor.org/SRI/SCIA/vuln/svd-activity-stat-job/blob/master/app-sdk/soapa-sangfor-lib/python/rule_activity_statistics/config.py" TargetMode="External"/><Relationship Id="rId10" Type="http://schemas.openxmlformats.org/officeDocument/2006/relationships/hyperlink" Target="http://code.sangfor.org/SRI/SCIA/ATI/ati-relations-loader-job/blob/master/start-load2hive.sh" TargetMode="External"/><Relationship Id="rId19" Type="http://schemas.openxmlformats.org/officeDocument/2006/relationships/hyperlink" Target="http://code.sangfor.org/SRI/SCIA/oozie/oozie-sz/blob/master/oozie_projects/jobs/ShenZhen/topthreat_hot_stat/code/blcak_url_stat.yaml" TargetMode="External"/><Relationship Id="rId15" Type="http://schemas.openxmlformats.org/officeDocument/2006/relationships/hyperlink" Target="http://code.sangfor.org/SRI/SCIA/oozie/oozie-sz/blob/master/oozie_projects/jobs/ShenZhen/secevent_analyse/config.xml" TargetMode="External"/><Relationship Id="rId18" Type="http://schemas.openxmlformats.org/officeDocument/2006/relationships/hyperlink" Target="http://code.sangfor.org/SRI/SCIA/oozie/oozie-sz/blob/master/oozie_projects/jobs/ShenZhen/topthreat_hot_stat/code/black_file_stat.yaml" TargetMode="External"/><Relationship Id="rId12" Type="http://schemas.openxmlformats.org/officeDocument/2006/relationships/hyperlink" Target="http://code.sangfor.org/SRI/SCIA/ATI/ati-relations-loader-job/blob/master/start-ioc-tags-cron-job.sh" TargetMode="External"/><Relationship Id="rId46" Type="http://schemas.openxmlformats.org/officeDocument/2006/relationships/hyperlink" Target="http://code.sangfor.org/SRI/SCIA/CIPD/IP/C2IP-TMP/ip-security-log-etl-prc/blob/master/app-sdk/soapa-sangfor-lib/python/config.py" TargetMode="External"/><Relationship Id="rId17" Type="http://schemas.openxmlformats.org/officeDocument/2006/relationships/hyperlink" Target="http://code.sangfor.org/SRI/SCIA/analysis/dashboard-stats-job/blob/master/app-sdk/soapa-sangfor-lib/python/common/sql.py" TargetMode="External"/><Relationship Id="rId42" Type="http://schemas.openxmlformats.org/officeDocument/2006/relationships/hyperlink" Target="http://code.sangfor.org/SRI/SCIA/FCC/black-file-clean-cronjob/blob/master/cron-job/black_file_clean/statistic.py" TargetMode="External"/><Relationship Id="rId30" Type="http://schemas.openxmlformats.org/officeDocument/2006/relationships/hyperlink" Target="http://code.sangfor.org/SRI/SCIA/TIBFE/thug-task-monitor-prc/blob/master/hive_source/hive_feed.py" TargetMode="External"/><Relationship Id="rId20" Type="http://schemas.openxmlformats.org/officeDocument/2006/relationships/hyperlink" Target="http://code.sangfor.org/SRI/SCIA/oozie/oozie-sz/blob/master/oozie_projects/jobs/ShenZhen/topthreat_hot_stat/code/black_domain_stat.yaml" TargetMode="External"/><Relationship Id="rId25" Type="http://schemas.openxmlformats.org/officeDocument/2006/relationships/hyperlink" Target="http://code.sangfor.org/SRI/SCIA/oozie/oozie-sz/blob/master/oozie_projects/jobs/ShenZhen/log_compress/code/insert_audit.sql" TargetMode="External"/><Relationship Id="rId16" Type="http://schemas.openxmlformats.org/officeDocument/2006/relationships/hyperlink" Target="http://code.sangfor.org/SRI/SCIA/CIPD/DOMAIN/PRE/gnn-domain-hive-query-cronjob/blob/master/unittest/data/app_cfg.json" TargetMode="External"/><Relationship Id="rId1" Type="http://schemas.openxmlformats.org/officeDocument/2006/relationships/hyperlink" Target="http://code.sangfor.org/SRI/SCIA/warehouse/secevent-to-hive-stream-prc/blob/master/start/start-sec2hive.sh" TargetMode="External"/><Relationship Id="rId39" Type="http://schemas.openxmlformats.org/officeDocument/2006/relationships/hyperlink" Target="http://code.sangfor.org/SRI/SCIA/ATI/IOC-PRODUCT/domain-hit-devnum-cronjob/blob/master/unittest/data/app_cfg.json" TargetMode="External"/><Relationship Id="rId26" Type="http://schemas.openxmlformats.org/officeDocument/2006/relationships/hyperlink" Target="http://code.sangfor.org/SRI/SCIA/oozie/oozie-sz/blob/master/oozie_projects/jobs/ShenZhen/log_compress/code/insert_stats.sql" TargetMode="External"/><Relationship Id="rId14" Type="http://schemas.openxmlformats.org/officeDocument/2006/relationships/hyperlink" Target="http://code.sangfor.org/SRI/SCIA/oozie/oozie-sz/blob/master/oozie_projects/jobs/ShenZhen/sodl_dwb_info/config.xml" TargetMode="External"/><Relationship Id="rId37" Type="http://schemas.openxmlformats.org/officeDocument/2006/relationships/hyperlink" Target="http://code.sangfor.org/SRI/SCIA/TIBAE/attack-ip-analysis-cronjob/blob/master/app-sdk/soapa-sangfor-lib/python/low_attack_type_ip_analysis/filter_log/constant.py" TargetMode="External"/><Relationship Id="rId0" Type="http://schemas.openxmlformats.org/officeDocument/2006/relationships/hyperlink" Target="http://code.sangfor.org/SRI/SCIA/warehouse/soapa-logger-stream-prc/blob/master/app/soapa-logger-stream-prc/src/main/scala/com/sangfor/cloud/logger/conf/BaseConfig.scala" TargetMode="External"/><Relationship Id="rId11" Type="http://schemas.openxmlformats.org/officeDocument/2006/relationships/hyperlink" Target="http://code.sangfor.org/SRI/SCIA/ATI/ati-relations-loader-job/blob/master/start-ioc-edges-cron-job.sh" TargetMode="External"/><Relationship Id="rId23" Type="http://schemas.openxmlformats.org/officeDocument/2006/relationships/hyperlink" Target="http://code.sangfor.org/SRI/SCIA/oozie/oozie-sz/blob/master/oozie_projects/jobs/ShenZhen/sodl_dwb_info/code/dwb/dwb_sodl_md5_info.sql" TargetMode="External"/><Relationship Id="rId13" Type="http://schemas.openxmlformats.org/officeDocument/2006/relationships/hyperlink" Target="http://code.sangfor.org/SRI/SCIA/oozie/oozie-sz/blob/master/oozie_projects/jobs/ShenZhen/sodl_ods_info/config.xml" TargetMode="External"/><Relationship Id="rId34" Type="http://schemas.openxmlformats.org/officeDocument/2006/relationships/hyperlink" Target="http://code.sangfor.org/SRI/SCIA/TIBAE/attack-ip-analysis-cronjob/blob/master/app-sdk/soapa-sangfor-lib/python/attack_ip_af_skyeye_analysis/filter_log/constant.py" TargetMode="External"/><Relationship Id="rId3" Type="http://schemas.openxmlformats.org/officeDocument/2006/relationships/hyperlink" Target="http://code.sangfor.org/SRI/SCIA/YJ/cloud-display-manager-prc/blob/master/src/scala/cloud_detail_stream/src/com/sangfor/cloud_display/detail/conf/Settings.scala" TargetMode="External"/><Relationship Id="rId24" Type="http://schemas.openxmlformats.org/officeDocument/2006/relationships/hyperlink" Target="http://code.sangfor.org/SRI/SCIA/oozie/oozie-sz/blob/master/oozie_projects/jobs/ShenZhen/sodl_dwb_info/code/dwb/dwb_sodl_url_info.sql" TargetMode="External"/><Relationship Id="rId38" Type="http://schemas.openxmlformats.org/officeDocument/2006/relationships/hyperlink" Target="http://code.sangfor.org/SRI/SCIA/CIPD/BDPD/top-visit-host-produce-job/blob/master/app-sdk/soapa-sangfor-lib/python/data_etl/log_stat_sql.py" TargetMode="External"/><Relationship Id="rId50" Type="http://schemas.openxmlformats.org/officeDocument/2006/relationships/hyperlink" Target="http://code.sangfor.org/SRI/SCIA/sync/datax-server/" TargetMode="External"/><Relationship Id="rId27" Type="http://schemas.openxmlformats.org/officeDocument/2006/relationships/hyperlink" Target="http://code.sangfor.org/SRI/SCIA/oozie/oozie-sz/blob/master/oozie_projects/jobs/ShenZhen/log_compress/code/dw_audit/dw_domain_info_audit.sql" TargetMode="External"/><Relationship Id="rId58" Type="http://schemas.openxmlformats.org/officeDocument/2006/relationships/hyperlink" Target="http://code.sangfor.org/SRI/SCIA/YaraHunting/yara-sample-query-job/blob/master/cron-job/yara_sample_query/config.py" TargetMode="External"/><Relationship Id="rId31" Type="http://schemas.openxmlformats.org/officeDocument/2006/relationships/hyperlink" Target="http://code.sangfor.org/SRI/SCIA/FRAME/assembly-workshop/blob/master/default/ati-pdns-cache-job/app-cfg/ShenZhen-default/config.json" TargetMode="External"/><Relationship Id="rId36" Type="http://schemas.openxmlformats.org/officeDocument/2006/relationships/hyperlink" Target="http://code.sangfor.org/SRI/SCIA/TIBAE/attack-ip-analysis-cronjob/blob/master/app-sdk/soapa-sangfor-lib/python/attack_ip_low_trusted_analysis/filter_log/constant.py" TargetMode="External"/><Relationship Id="rId21" Type="http://schemas.openxmlformats.org/officeDocument/2006/relationships/hyperlink" Target="http://code.sangfor.org/SRI/SCIA/oozie/oozie-sz/blob/master/oozie_projects/jobs/ShenZhen/sodl_dwb_info/code/dwb/dwb_sodl_domain_info.sql" TargetMode="External"/><Relationship Id="rId4" Type="http://schemas.openxmlformats.org/officeDocument/2006/relationships/hyperlink" Target="http://code.sangfor.org/SRI/SCIA/YJ/cloud-display-manager-prc/blob/master/src/scala/cloud_statistic_stream/src/com/sangfor/cloud_display/statistic/conf/Settings.scala" TargetMode="External"/><Relationship Id="rId44" Type="http://schemas.openxmlformats.org/officeDocument/2006/relationships/hyperlink" Target="http://code.sangfor.org/SRI/SCIA/CIPD/COMMON/cipd-product-resource-monitor-prc/blob/master/app-sdk/soapa-sangfor-lib/python/configs/sql.py" TargetMode="External"/><Relationship Id="rId32" Type="http://schemas.openxmlformats.org/officeDocument/2006/relationships/hyperlink" Target="http://code.sangfor.org/SRI/SCIA/TIBAE/attack-ip-analysis-cronjob/blob/master/app-sdk/soapa-sangfor-lib/python/attack_ip_wiki_related_analysis/filter_log/constant.py" TargetMode="External"/><Relationship Id="rId2" Type="http://schemas.openxmlformats.org/officeDocument/2006/relationships/hyperlink" Target="http://code.sangfor.org/SRI/SCIA/devid/online-dev-warehousing-prc/blob/master/src/myapp/src/main/scala/com/sangfor/cloud/online/dev/warehouse/config/AppConfig.scala" TargetMode="External"/><Relationship Id="rId22" Type="http://schemas.openxmlformats.org/officeDocument/2006/relationships/hyperlink" Target="http://code.sangfor.org/SRI/SCIA/oozie/oozie-sz/blob/master/oozie_projects/jobs/ShenZhen/sodl_dwb_info/code/dwb/dwb_sodl_ip_info.sql" TargetMode="External"/><Relationship Id="rId28" Type="http://schemas.openxmlformats.org/officeDocument/2006/relationships/hyperlink" Target="http://code.sangfor.org/SRI/SCIA/oozie/oozie-sz/blob/master/oozie_projects/jobs/ShenZhen/log_compress/code/dw_audit/dw_md5_info_audit.sql" TargetMode="External"/><Relationship Id="rId33" Type="http://schemas.openxmlformats.org/officeDocument/2006/relationships/hyperlink" Target="http://code.sangfor.org/SRI/SCIA/TIBAE/attack-ip-analysis-cronjob/blob/master/app-sdk/soapa-sangfor-lib/python/attack_ip_af_rule_analysis/filter_log/constant.py" TargetMode="External"/><Relationship Id="rId35" Type="http://schemas.openxmlformats.org/officeDocument/2006/relationships/hyperlink" Target="http://code.sangfor.org/SRI/SCIA/TIBAE/attack-ip-analysis-cronjob/blob/master/app-sdk/soapa-sangfor-lib/python/attack_ip_seclog_analysis/filter_log/constant.py" TargetMode="External"/><Relationship Id="rId29" Type="http://schemas.openxmlformats.org/officeDocument/2006/relationships/hyperlink" Target="http://code.sangfor.org/SRI/SCIA/oozie/oozie-sz/blob/master/oozie_projects/jobs/ShenZhen/log_compress/code/dw_audit/dw_url_info_audit.sql" TargetMode="External"/><Relationship Id="rId40" Type="http://schemas.openxmlformats.org/officeDocument/2006/relationships/hyperlink" Target="http://code.sangfor.org/SRI/SCIA/CIPD/IP/filter-layout-ip-seg-stat-prc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云脑大数据平台"/>
  <dimension ref="Z252"/>
  <sheetViews>
    <sheetView showGridLines="true" tabSelected="false" workbookViewId="0">
      <pane xSplit="1" ySplit="2" topLeftCell="B3" activePane="bottomRight" state="frozen"/>
    </sheetView>
  </sheetViews>
  <sheetFormatPr defaultColWidth="9" defaultRowHeight="20" customHeight="true"/>
  <cols>
    <col min="1" max="1" width="35.4727" style="286" customWidth="true"/>
    <col min="2" max="2" width="9.20312" style="287" customWidth="true"/>
    <col min="3" max="3" width="7.97266" style="288" customWidth="true"/>
    <col min="4" max="4" width="38.3906" style="289" customWidth="true"/>
    <col min="5" max="5" width="30.3008" style="290" customWidth="true"/>
    <col min="6" max="6" width="24.043" style="287" customWidth="true"/>
    <col min="7" max="7" width="11.8906" style="287" customWidth="true"/>
    <col min="8" max="8" width="11.8906" style="289" customWidth="true"/>
    <col min="9" max="9" width="9.32031" style="289" hidden="true" customWidth="true"/>
    <col min="10" max="10" width="13.3711" style="289" customWidth="true"/>
    <col min="11" max="11" width="6.87109" style="287" hidden="true" customWidth="true"/>
    <col min="12" max="12" width="8.95312" style="287" hidden="true" customWidth="true"/>
    <col min="13" max="13" width="9.69141" style="289" hidden="true" customWidth="true"/>
    <col min="14" max="14" width="8.33984" style="289" hidden="true" customWidth="true"/>
    <col min="15" max="15" width="9.92969" style="289" hidden="true" customWidth="true"/>
    <col min="16" max="16" width="15.5703" style="289" customWidth="true"/>
    <col min="17" max="17" width="13.7305" style="289" hidden="true" customWidth="true"/>
    <col min="18" max="18" width="16.5" style="289" customWidth="true"/>
    <col min="19" max="19" width="18.3906" style="289" customWidth="true"/>
    <col min="20" max="20" width="31.6406" style="291" customWidth="true"/>
    <col min="21" max="21" width="144.109" style="292" customWidth="true"/>
    <col min="22" max="22" width="85.3594" style="293" customWidth="true"/>
    <col min="23" max="23" width="3.0625" style="294" customWidth="true"/>
    <col min="24" max="24" width="31.25" style="292" hidden="true" customWidth="true"/>
    <col min="25" max="32" width="9" style="294"/>
  </cols>
  <sheetData>
    <row r="1" spans="1:32" s="280" customFormat="true" customHeight="true">
      <c r="A1" s="4" t="s">
        <v>1</v>
      </c>
      <c r="B1" s="5" t="s"/>
      <c r="C1" s="6" t="s"/>
      <c r="D1" s="7" t="s">
        <v>2</v>
      </c>
      <c r="E1" s="6" t="s"/>
      <c r="F1" s="8" t="s"/>
      <c r="G1" s="8" t="s"/>
      <c r="H1" s="9" t="s"/>
      <c r="I1" s="9" t="s"/>
      <c r="J1" s="9" t="s"/>
      <c r="K1" s="9" t="s"/>
      <c r="L1" s="10" t="s">
        <v>504</v>
      </c>
      <c r="M1" s="11" t="s"/>
      <c r="N1" s="5" t="s"/>
      <c r="O1" s="6" t="s"/>
      <c r="P1" s="12" t="s">
        <v>505</v>
      </c>
      <c r="Q1" s="5" t="s"/>
      <c r="R1" s="6" t="s"/>
      <c r="S1" s="13" t="s"/>
      <c r="T1" s="14" t="s"/>
      <c r="U1" s="15" t="s"/>
      <c r="V1" s="16" t="s"/>
      <c r="W1" s="17" t="s"/>
      <c r="X1" s="14" t="s"/>
      <c r="Y1" s="18" t="s"/>
      <c r="Z1" s="18" t="s"/>
      <c r="AA1" s="18" t="s"/>
      <c r="AB1" s="18" t="s"/>
      <c r="AC1" s="18" t="s"/>
      <c r="AD1" s="18" t="s"/>
      <c r="AE1" s="18" t="s"/>
      <c r="AF1" s="18" t="s"/>
    </row>
    <row r="2" spans="1:24" s="281" customFormat="true" customHeight="true">
      <c r="A2" s="19" t="s">
        <v>506</v>
      </c>
      <c r="B2" s="20" t="s">
        <v>3</v>
      </c>
      <c r="C2" s="20" t="s">
        <v>4</v>
      </c>
      <c r="D2" s="19" t="s">
        <v>507</v>
      </c>
      <c r="E2" s="21" t="s">
        <v>508</v>
      </c>
      <c r="F2" s="19" t="s">
        <v>5</v>
      </c>
      <c r="G2" s="22" t="s">
        <v>6</v>
      </c>
      <c r="H2" s="19" t="s">
        <v>7</v>
      </c>
      <c r="I2" s="19" t="s">
        <v>8</v>
      </c>
      <c r="J2" s="19" t="s">
        <v>509</v>
      </c>
      <c r="K2" s="19" t="s">
        <v>9</v>
      </c>
      <c r="L2" s="19" t="s">
        <v>10</v>
      </c>
      <c r="M2" s="19" t="s">
        <v>11</v>
      </c>
      <c r="N2" s="19" t="s">
        <v>12</v>
      </c>
      <c r="O2" s="19" t="s">
        <v>510</v>
      </c>
      <c r="P2" s="19" t="s">
        <v>13</v>
      </c>
      <c r="Q2" s="19" t="s">
        <v>14</v>
      </c>
      <c r="R2" s="19" t="s">
        <v>15</v>
      </c>
      <c r="S2" s="19" t="s">
        <v>16</v>
      </c>
      <c r="T2" s="19" t="s">
        <v>17</v>
      </c>
      <c r="U2" s="23" t="s">
        <v>511</v>
      </c>
      <c r="V2" s="24" t="s">
        <v>512</v>
      </c>
      <c r="W2" s="22" t="s"/>
      <c r="X2" s="23" t="s">
        <v>18</v>
      </c>
    </row>
    <row r="3" spans="1:32" s="282" customFormat="true" customHeight="true">
      <c r="A3" s="25" t="s">
        <v>19</v>
      </c>
      <c r="B3" s="26" t="s">
        <v>20</v>
      </c>
      <c r="C3" s="27" t="s">
        <v>21</v>
      </c>
      <c r="D3" s="28" t="s">
        <v>513</v>
      </c>
      <c r="E3" s="29" t="s">
        <v>22</v>
      </c>
      <c r="F3" s="30" t="s"/>
      <c r="G3" s="31" t="s">
        <v>23</v>
      </c>
      <c r="H3" s="30" t="s">
        <v>24</v>
      </c>
      <c r="I3" s="30" t="s">
        <v>25</v>
      </c>
      <c r="J3" s="30" t="s">
        <v>514</v>
      </c>
      <c r="K3" s="30" t="s"/>
      <c r="L3" s="30">
        <v>0.8</v>
      </c>
      <c r="M3" s="30">
        <v>3</v>
      </c>
      <c r="N3" s="30">
        <v>3</v>
      </c>
      <c r="O3" s="30">
        <v>18432</v>
      </c>
      <c r="P3" s="30" t="s">
        <v>26</v>
      </c>
      <c r="Q3" s="30" t="s">
        <v>26</v>
      </c>
      <c r="R3" s="30" t="s">
        <v>26</v>
      </c>
      <c r="S3" s="30" t="s">
        <v>26</v>
      </c>
      <c r="T3" s="32" t="s"/>
      <c r="U3" s="33" t="s">
        <v>27</v>
      </c>
      <c r="V3" s="34" t="s">
        <v>26</v>
      </c>
      <c r="W3" s="35" t="s">
        <v>26</v>
      </c>
      <c r="X3" s="32" t="s"/>
      <c r="Y3" s="36" t="s"/>
      <c r="Z3" s="36" t="s"/>
      <c r="AA3" s="36" t="s"/>
      <c r="AB3" s="36" t="s"/>
      <c r="AC3" s="36" t="s"/>
      <c r="AD3" s="36" t="s"/>
      <c r="AE3" s="36" t="s"/>
      <c r="AF3" s="37" t="s"/>
    </row>
    <row r="4" spans="1:32" customHeight="true">
      <c r="A4" s="38" t="s"/>
      <c r="B4" s="39" t="s">
        <v>20</v>
      </c>
      <c r="C4" s="27" t="s">
        <v>21</v>
      </c>
      <c r="D4" s="40" t="s"/>
      <c r="E4" s="41" t="s">
        <v>28</v>
      </c>
      <c r="F4" s="42" t="s"/>
      <c r="G4" s="43" t="s">
        <v>23</v>
      </c>
      <c r="H4" s="42" t="s">
        <v>24</v>
      </c>
      <c r="I4" s="42" t="s">
        <v>25</v>
      </c>
      <c r="J4" s="42" t="s">
        <v>514</v>
      </c>
      <c r="K4" s="42" t="s"/>
      <c r="L4" s="42">
        <v>0.8</v>
      </c>
      <c r="M4" s="42">
        <v>3</v>
      </c>
      <c r="N4" s="42">
        <v>3</v>
      </c>
      <c r="O4" s="42">
        <v>18432</v>
      </c>
      <c r="P4" s="42" t="s">
        <v>26</v>
      </c>
      <c r="Q4" s="42" t="s">
        <v>26</v>
      </c>
      <c r="R4" s="42" t="s">
        <v>26</v>
      </c>
      <c r="S4" s="42" t="s">
        <v>26</v>
      </c>
      <c r="U4" s="44" t="s">
        <v>27</v>
      </c>
      <c r="V4" s="45" t="s">
        <v>26</v>
      </c>
      <c r="W4" s="46" t="s">
        <v>26</v>
      </c>
      <c r="AF4" s="47" t="s"/>
    </row>
    <row r="5" spans="1:32" customHeight="true">
      <c r="A5" s="38" t="s"/>
      <c r="B5" s="48" t="s">
        <v>20</v>
      </c>
      <c r="C5" s="49" t="s">
        <v>21</v>
      </c>
      <c r="D5" s="40" t="s"/>
      <c r="E5" s="41" t="s">
        <v>29</v>
      </c>
      <c r="F5" s="42" t="s"/>
      <c r="G5" s="43" t="s">
        <v>23</v>
      </c>
      <c r="H5" s="42" t="s">
        <v>24</v>
      </c>
      <c r="I5" s="42" t="s">
        <v>25</v>
      </c>
      <c r="J5" s="42" t="s">
        <v>514</v>
      </c>
      <c r="K5" s="42" t="s"/>
      <c r="L5" s="42">
        <v>0.8</v>
      </c>
      <c r="M5" s="42">
        <v>3</v>
      </c>
      <c r="N5" s="42">
        <v>3</v>
      </c>
      <c r="O5" s="42">
        <v>18432</v>
      </c>
      <c r="P5" s="42" t="s">
        <v>26</v>
      </c>
      <c r="Q5" s="42" t="s">
        <v>26</v>
      </c>
      <c r="R5" s="42" t="s">
        <v>26</v>
      </c>
      <c r="S5" s="42" t="s">
        <v>26</v>
      </c>
      <c r="U5" s="50" t="s">
        <v>27</v>
      </c>
      <c r="V5" s="45" t="s">
        <v>26</v>
      </c>
      <c r="W5" s="46" t="s">
        <v>26</v>
      </c>
      <c r="AF5" s="47" t="s"/>
    </row>
    <row r="6" spans="1:32" customHeight="true">
      <c r="A6" s="38" t="s"/>
      <c r="B6" s="39" t="s">
        <v>20</v>
      </c>
      <c r="C6" s="51" t="s">
        <v>21</v>
      </c>
      <c r="D6" s="40" t="s"/>
      <c r="E6" s="41" t="s">
        <v>30</v>
      </c>
      <c r="F6" s="42" t="s"/>
      <c r="G6" s="43" t="s">
        <v>23</v>
      </c>
      <c r="H6" s="42" t="s">
        <v>24</v>
      </c>
      <c r="I6" s="42" t="s">
        <v>25</v>
      </c>
      <c r="J6" s="42" t="s">
        <v>514</v>
      </c>
      <c r="K6" s="42" t="s"/>
      <c r="L6" s="42">
        <v>0.8</v>
      </c>
      <c r="M6" s="42">
        <v>3</v>
      </c>
      <c r="N6" s="42">
        <v>3</v>
      </c>
      <c r="O6" s="42">
        <v>18432</v>
      </c>
      <c r="P6" s="42" t="s">
        <v>26</v>
      </c>
      <c r="Q6" s="42" t="s">
        <v>26</v>
      </c>
      <c r="R6" s="42" t="s">
        <v>26</v>
      </c>
      <c r="S6" s="42" t="s">
        <v>26</v>
      </c>
      <c r="U6" s="52" t="s">
        <v>27</v>
      </c>
      <c r="V6" s="45" t="s">
        <v>26</v>
      </c>
      <c r="W6" s="46" t="s">
        <v>26</v>
      </c>
      <c r="AF6" s="47" t="s"/>
    </row>
    <row r="7" spans="1:32" customHeight="true">
      <c r="A7" s="53" t="s">
        <v>31</v>
      </c>
      <c r="B7" s="54" t="s">
        <v>32</v>
      </c>
      <c r="C7" s="51" t="s">
        <v>33</v>
      </c>
      <c r="D7" s="42" t="s">
        <v>515</v>
      </c>
      <c r="E7" s="41" t="s">
        <v>34</v>
      </c>
      <c r="F7" s="42" t="s"/>
      <c r="G7" s="55" t="s"/>
      <c r="H7" s="42" t="s">
        <v>24</v>
      </c>
      <c r="I7" s="42" t="s">
        <v>25</v>
      </c>
      <c r="J7" s="42" t="s">
        <v>514</v>
      </c>
      <c r="K7" s="42" t="s"/>
      <c r="L7" s="42">
        <v>0.1</v>
      </c>
      <c r="M7" s="42">
        <v>1</v>
      </c>
      <c r="N7" s="42">
        <v>1</v>
      </c>
      <c r="O7" s="42">
        <v>2048</v>
      </c>
      <c r="P7" s="42" t="s">
        <v>26</v>
      </c>
      <c r="Q7" s="42" t="s">
        <v>26</v>
      </c>
      <c r="R7" s="42" t="s">
        <v>26</v>
      </c>
      <c r="S7" s="42" t="s">
        <v>26</v>
      </c>
      <c r="U7" s="50" t="s">
        <v>35</v>
      </c>
      <c r="V7" s="45" t="s">
        <v>26</v>
      </c>
      <c r="W7" s="46" t="s">
        <v>26</v>
      </c>
      <c r="AF7" s="47" t="s"/>
    </row>
    <row r="8" spans="1:32" s="283" customFormat="true" customHeight="true">
      <c r="A8" s="56" t="s">
        <v>36</v>
      </c>
      <c r="B8" s="57" t="s">
        <v>20</v>
      </c>
      <c r="C8" s="58" t="s">
        <v>37</v>
      </c>
      <c r="D8" s="59" t="s">
        <v>516</v>
      </c>
      <c r="E8" s="60" t="s">
        <v>36</v>
      </c>
      <c r="F8" s="59" t="s"/>
      <c r="G8" s="61" t="s"/>
      <c r="H8" s="59" t="s">
        <v>24</v>
      </c>
      <c r="I8" s="59" t="s">
        <v>38</v>
      </c>
      <c r="J8" s="59" t="s">
        <v>514</v>
      </c>
      <c r="K8" s="59" t="s"/>
      <c r="L8" s="59">
        <v>1.2</v>
      </c>
      <c r="M8" s="59">
        <v>4</v>
      </c>
      <c r="N8" s="59">
        <v>4</v>
      </c>
      <c r="O8" s="59">
        <v>28672</v>
      </c>
      <c r="P8" s="59" t="s">
        <v>26</v>
      </c>
      <c r="Q8" s="59" t="s">
        <v>26</v>
      </c>
      <c r="R8" s="59" t="s">
        <v>26</v>
      </c>
      <c r="S8" s="59" t="s">
        <v>26</v>
      </c>
      <c r="T8" s="62" t="s">
        <v>517</v>
      </c>
      <c r="U8" s="50" t="s">
        <v>39</v>
      </c>
      <c r="V8" s="63" t="s">
        <v>26</v>
      </c>
      <c r="W8" s="64" t="s">
        <v>26</v>
      </c>
      <c r="X8" s="65" t="s"/>
      <c r="Y8" s="66" t="s"/>
      <c r="Z8" s="66" t="s"/>
      <c r="AA8" s="66" t="s"/>
      <c r="AB8" s="66" t="s"/>
      <c r="AC8" s="66" t="s"/>
      <c r="AD8" s="66" t="s"/>
      <c r="AE8" s="66" t="s"/>
      <c r="AF8" s="67" t="s"/>
    </row>
    <row r="9" spans="1:32" s="282" customFormat="true" customHeight="true">
      <c r="A9" s="68" t="s">
        <v>40</v>
      </c>
      <c r="B9" s="69" t="s">
        <v>20</v>
      </c>
      <c r="C9" s="70" t="s">
        <v>41</v>
      </c>
      <c r="D9" s="71" t="s">
        <v>518</v>
      </c>
      <c r="E9" s="30" t="s">
        <v>42</v>
      </c>
      <c r="F9" s="30" t="s">
        <v>43</v>
      </c>
      <c r="G9" s="31" t="s"/>
      <c r="H9" s="30" t="s">
        <v>44</v>
      </c>
      <c r="I9" s="30" t="s">
        <v>38</v>
      </c>
      <c r="J9" s="72" t="s">
        <v>45</v>
      </c>
      <c r="K9" s="72" t="s"/>
      <c r="L9" s="73">
        <v>1.4</v>
      </c>
      <c r="M9" s="30">
        <v>11</v>
      </c>
      <c r="N9" s="30">
        <v>11</v>
      </c>
      <c r="O9" s="30">
        <v>32768</v>
      </c>
      <c r="P9" s="30" t="s">
        <v>519</v>
      </c>
      <c r="Q9" s="74" t="s">
        <v>26</v>
      </c>
      <c r="R9" s="30" t="s">
        <v>519</v>
      </c>
      <c r="S9" s="30" t="s">
        <v>519</v>
      </c>
      <c r="T9" s="75" t="s">
        <v>520</v>
      </c>
      <c r="U9" s="76" t="s">
        <v>46</v>
      </c>
      <c r="V9" s="34" t="s">
        <v>26</v>
      </c>
      <c r="W9" s="77" t="s">
        <v>26</v>
      </c>
      <c r="X9" s="32" t="s"/>
      <c r="Y9" s="36" t="s"/>
      <c r="Z9" s="36" t="s"/>
      <c r="AA9" s="36" t="s"/>
      <c r="AB9" s="36" t="s"/>
      <c r="AC9" s="36" t="s"/>
      <c r="AD9" s="36" t="s"/>
      <c r="AE9" s="36" t="s"/>
      <c r="AF9" s="37" t="s"/>
    </row>
    <row r="10" spans="1:32" customHeight="true">
      <c r="A10" s="78" t="s"/>
      <c r="B10" s="79" t="s">
        <v>20</v>
      </c>
      <c r="C10" s="51" t="s">
        <v>41</v>
      </c>
      <c r="D10" s="80" t="s"/>
      <c r="E10" s="42" t="s">
        <v>47</v>
      </c>
      <c r="F10" s="42" t="s">
        <v>43</v>
      </c>
      <c r="G10" s="55" t="s"/>
      <c r="H10" s="42" t="s">
        <v>44</v>
      </c>
      <c r="I10" s="42" t="s">
        <v>38</v>
      </c>
      <c r="J10" s="81" t="s">
        <v>45</v>
      </c>
      <c r="K10" s="81" t="s"/>
      <c r="L10" s="42">
        <v>1.2</v>
      </c>
      <c r="M10" s="42">
        <v>6</v>
      </c>
      <c r="N10" s="42">
        <v>6</v>
      </c>
      <c r="O10" s="42">
        <v>27648</v>
      </c>
      <c r="P10" s="42" t="s">
        <v>26</v>
      </c>
      <c r="Q10" s="42" t="s">
        <v>26</v>
      </c>
      <c r="R10" s="42" t="s">
        <v>26</v>
      </c>
      <c r="S10" s="42" t="s">
        <v>26</v>
      </c>
      <c r="U10" s="50" t="s">
        <v>48</v>
      </c>
      <c r="V10" s="45" t="s">
        <v>26</v>
      </c>
      <c r="W10" s="46" t="s">
        <v>26</v>
      </c>
      <c r="AF10" s="47" t="s"/>
    </row>
    <row r="11" spans="1:32" customHeight="true">
      <c r="A11" s="53" t="s">
        <v>49</v>
      </c>
      <c r="B11" s="54" t="s">
        <v>50</v>
      </c>
      <c r="C11" s="82" t="s">
        <v>41</v>
      </c>
      <c r="D11" s="40" t="s">
        <v>521</v>
      </c>
      <c r="E11" s="41" t="s">
        <v>49</v>
      </c>
      <c r="F11" s="42" t="s"/>
      <c r="G11" s="55" t="s"/>
      <c r="H11" s="42" t="s">
        <v>44</v>
      </c>
      <c r="I11" s="42" t="s">
        <v>38</v>
      </c>
      <c r="J11" s="42" t="s">
        <v>519</v>
      </c>
      <c r="K11" s="42" t="s"/>
      <c r="L11" s="42">
        <v>0.8</v>
      </c>
      <c r="M11" s="42" t="s">
        <v>26</v>
      </c>
      <c r="N11" s="42" t="s">
        <v>26</v>
      </c>
      <c r="O11" s="42" t="s">
        <v>26</v>
      </c>
      <c r="P11" s="42" t="s">
        <v>519</v>
      </c>
      <c r="Q11" s="83" t="s">
        <v>26</v>
      </c>
      <c r="R11" s="42" t="s">
        <v>519</v>
      </c>
      <c r="S11" s="42" t="s">
        <v>519</v>
      </c>
      <c r="T11" s="84" t="s">
        <v>522</v>
      </c>
      <c r="U11" s="50" t="s">
        <v>51</v>
      </c>
      <c r="V11" s="45" t="s">
        <v>26</v>
      </c>
      <c r="W11" s="46" t="s">
        <v>26</v>
      </c>
      <c r="AF11" s="47" t="s"/>
    </row>
    <row r="12" spans="1:32" customHeight="true">
      <c r="A12" s="85" t="s">
        <v>52</v>
      </c>
      <c r="B12" s="86" t="s">
        <v>50</v>
      </c>
      <c r="C12" s="87" t="s"/>
      <c r="D12" s="88" t="s">
        <v>53</v>
      </c>
      <c r="E12" s="89" t="s">
        <v>54</v>
      </c>
      <c r="F12" s="90" t="s"/>
      <c r="G12" s="91" t="s"/>
      <c r="H12" s="42" t="s">
        <v>44</v>
      </c>
      <c r="I12" s="42" t="s">
        <v>38</v>
      </c>
      <c r="J12" s="92" t="s">
        <v>55</v>
      </c>
      <c r="K12" s="92">
        <v>24</v>
      </c>
      <c r="L12" s="92" t="s"/>
      <c r="M12" s="92" t="s"/>
      <c r="N12" s="92" t="s"/>
      <c r="O12" s="92" t="s"/>
      <c r="P12" s="92">
        <v>2967841</v>
      </c>
      <c r="Q12" s="93" t="s"/>
      <c r="R12" s="92">
        <v>577</v>
      </c>
      <c r="S12" s="92" t="s">
        <v>56</v>
      </c>
      <c r="T12" s="94" t="s"/>
      <c r="U12" s="50" t="s">
        <v>523</v>
      </c>
      <c r="V12" s="45" t="s">
        <v>26</v>
      </c>
      <c r="W12" s="46" t="s">
        <v>26</v>
      </c>
      <c r="AF12" s="95" t="s"/>
    </row>
    <row r="13" spans="1:32" customHeight="true">
      <c r="A13" s="53" t="s">
        <v>57</v>
      </c>
      <c r="B13" s="54" t="s">
        <v>32</v>
      </c>
      <c r="C13" s="82" t="s">
        <v>58</v>
      </c>
      <c r="D13" s="40" t="s">
        <v>524</v>
      </c>
      <c r="E13" s="41" t="s">
        <v>59</v>
      </c>
      <c r="F13" s="42" t="s"/>
      <c r="G13" s="55" t="s"/>
      <c r="H13" s="42" t="s">
        <v>44</v>
      </c>
      <c r="I13" s="42" t="s">
        <v>60</v>
      </c>
      <c r="J13" s="42" t="s">
        <v>61</v>
      </c>
      <c r="K13" s="42">
        <v>1</v>
      </c>
      <c r="L13" s="42" t="s"/>
      <c r="M13" s="42" t="s">
        <v>26</v>
      </c>
      <c r="N13" s="42" t="s">
        <v>26</v>
      </c>
      <c r="O13" s="42" t="s">
        <v>26</v>
      </c>
      <c r="P13" s="42">
        <v>1652615</v>
      </c>
      <c r="Q13" s="83">
        <f>=P13/3600</f>
        <v>459.059722222222</v>
      </c>
      <c r="R13" s="42">
        <v>276</v>
      </c>
      <c r="S13" s="42" t="s">
        <v>62</v>
      </c>
      <c r="T13" s="96" t="s">
        <v>517</v>
      </c>
      <c r="U13" s="50" t="s">
        <v>63</v>
      </c>
      <c r="V13" s="45" t="s">
        <v>26</v>
      </c>
      <c r="W13" s="46" t="s">
        <v>26</v>
      </c>
      <c r="AF13" s="47" t="s"/>
    </row>
    <row r="14" spans="1:32" customHeight="true">
      <c r="A14" s="53" t="s">
        <v>64</v>
      </c>
      <c r="B14" s="54" t="s">
        <v>65</v>
      </c>
      <c r="C14" s="82" t="s">
        <v>33</v>
      </c>
      <c r="D14" s="97" t="s">
        <v>66</v>
      </c>
      <c r="E14" s="41" t="s">
        <v>64</v>
      </c>
      <c r="F14" s="98" t="s"/>
      <c r="G14" s="54" t="s"/>
      <c r="H14" s="98" t="s">
        <v>44</v>
      </c>
      <c r="I14" s="42" t="s">
        <v>60</v>
      </c>
      <c r="J14" s="99" t="s">
        <v>67</v>
      </c>
      <c r="K14" s="42">
        <v>24</v>
      </c>
      <c r="L14" s="42" t="s"/>
      <c r="M14" s="42" t="s">
        <v>26</v>
      </c>
      <c r="N14" s="42" t="s">
        <v>26</v>
      </c>
      <c r="O14" s="42" t="s">
        <v>26</v>
      </c>
      <c r="P14" s="42">
        <v>30361</v>
      </c>
      <c r="Q14" s="83">
        <f>=P14/3600</f>
        <v>8.43361111111111</v>
      </c>
      <c r="R14" s="42">
        <v>29</v>
      </c>
      <c r="S14" s="42" t="s">
        <v>68</v>
      </c>
      <c r="T14" s="84" t="s">
        <v>525</v>
      </c>
      <c r="U14" s="100" t="s">
        <v>69</v>
      </c>
      <c r="V14" s="45" t="s">
        <v>26</v>
      </c>
      <c r="W14" s="46" t="s">
        <v>26</v>
      </c>
      <c r="AF14" s="47" t="s"/>
    </row>
    <row r="15" spans="1:32" customHeight="true">
      <c r="A15" s="101" t="s">
        <v>70</v>
      </c>
      <c r="B15" s="86" t="s">
        <v>20</v>
      </c>
      <c r="C15" s="87" t="s">
        <v>71</v>
      </c>
      <c r="D15" s="102" t="s">
        <v>526</v>
      </c>
      <c r="E15" s="89" t="s">
        <v>72</v>
      </c>
      <c r="F15" s="92" t="s"/>
      <c r="G15" s="103" t="s"/>
      <c r="H15" s="92" t="s">
        <v>44</v>
      </c>
      <c r="I15" s="92" t="s">
        <v>73</v>
      </c>
      <c r="J15" s="104" t="s">
        <v>45</v>
      </c>
      <c r="K15" s="92" t="s"/>
      <c r="L15" s="92">
        <v>5.2</v>
      </c>
      <c r="M15" s="92">
        <v>9</v>
      </c>
      <c r="N15" s="92">
        <v>9</v>
      </c>
      <c r="O15" s="92">
        <v>123904</v>
      </c>
      <c r="P15" s="92">
        <v>15247545468</v>
      </c>
      <c r="Q15" s="93">
        <f>=P15/3600</f>
        <v>4235429.29666667</v>
      </c>
      <c r="R15" s="92">
        <v>1107542</v>
      </c>
      <c r="S15" s="92" t="s">
        <v>74</v>
      </c>
      <c r="T15" s="105" t="s">
        <v>75</v>
      </c>
      <c r="U15" s="50" t="s">
        <v>76</v>
      </c>
      <c r="V15" s="45" t="s">
        <v>26</v>
      </c>
      <c r="W15" s="46" t="s">
        <v>26</v>
      </c>
      <c r="AF15" s="95" t="s"/>
    </row>
    <row r="16" spans="1:32" customHeight="true">
      <c r="A16" s="56" t="s">
        <v>77</v>
      </c>
      <c r="B16" s="106" t="s">
        <v>20</v>
      </c>
      <c r="C16" s="87" t="s">
        <v>41</v>
      </c>
      <c r="D16" s="107" t="s">
        <v>78</v>
      </c>
      <c r="E16" s="42" t="s">
        <v>79</v>
      </c>
      <c r="F16" s="42" t="s"/>
      <c r="G16" s="55" t="s"/>
      <c r="H16" s="42" t="s">
        <v>44</v>
      </c>
      <c r="I16" s="42" t="s">
        <v>80</v>
      </c>
      <c r="J16" s="81" t="s">
        <v>45</v>
      </c>
      <c r="K16" s="42" t="s"/>
      <c r="L16" s="42">
        <v>1.4</v>
      </c>
      <c r="M16" s="42">
        <v>6</v>
      </c>
      <c r="N16" s="42">
        <v>6</v>
      </c>
      <c r="O16" s="42">
        <v>32768</v>
      </c>
      <c r="P16" s="42" t="s">
        <v>26</v>
      </c>
      <c r="Q16" s="83" t="s">
        <v>26</v>
      </c>
      <c r="R16" s="42" t="s">
        <v>26</v>
      </c>
      <c r="S16" s="42" t="s">
        <v>26</v>
      </c>
      <c r="U16" s="50" t="s">
        <v>81</v>
      </c>
      <c r="V16" s="45" t="s">
        <v>26</v>
      </c>
      <c r="W16" s="46" t="s">
        <v>26</v>
      </c>
      <c r="AF16" s="47" t="s"/>
    </row>
    <row r="17" spans="1:32" customHeight="true">
      <c r="A17" s="108" t="s"/>
      <c r="B17" s="109" t="s">
        <v>20</v>
      </c>
      <c r="C17" s="87" t="s">
        <v>41</v>
      </c>
      <c r="D17" s="110" t="s"/>
      <c r="E17" s="42" t="s">
        <v>82</v>
      </c>
      <c r="F17" s="42" t="s"/>
      <c r="G17" s="55" t="s"/>
      <c r="H17" s="42" t="s">
        <v>44</v>
      </c>
      <c r="I17" s="42" t="s">
        <v>80</v>
      </c>
      <c r="J17" s="81" t="s">
        <v>45</v>
      </c>
      <c r="K17" s="42" t="s"/>
      <c r="L17" s="42">
        <v>1.4</v>
      </c>
      <c r="M17" s="42">
        <v>6</v>
      </c>
      <c r="N17" s="42">
        <v>6</v>
      </c>
      <c r="O17" s="42">
        <v>32678</v>
      </c>
      <c r="P17" s="42" t="s">
        <v>26</v>
      </c>
      <c r="Q17" s="83" t="s">
        <v>26</v>
      </c>
      <c r="R17" s="42" t="s">
        <v>26</v>
      </c>
      <c r="S17" s="42" t="s">
        <v>26</v>
      </c>
      <c r="U17" s="111" t="s">
        <v>81</v>
      </c>
      <c r="V17" s="45" t="s">
        <v>26</v>
      </c>
      <c r="W17" s="46" t="s">
        <v>26</v>
      </c>
      <c r="AF17" s="47" t="s"/>
    </row>
    <row r="18" spans="1:32" customHeight="true">
      <c r="A18" s="108" t="s"/>
      <c r="B18" s="109" t="s">
        <v>20</v>
      </c>
      <c r="C18" s="87" t="s">
        <v>41</v>
      </c>
      <c r="D18" s="110" t="s"/>
      <c r="E18" s="42" t="s">
        <v>83</v>
      </c>
      <c r="F18" s="42" t="s"/>
      <c r="G18" s="55" t="s"/>
      <c r="H18" s="42" t="s">
        <v>44</v>
      </c>
      <c r="I18" s="42" t="s">
        <v>80</v>
      </c>
      <c r="J18" s="42" t="s">
        <v>84</v>
      </c>
      <c r="K18" s="42">
        <v>24</v>
      </c>
      <c r="L18" s="42" t="s"/>
      <c r="M18" s="42" t="s">
        <v>26</v>
      </c>
      <c r="N18" s="42" t="s">
        <v>26</v>
      </c>
      <c r="O18" s="42" t="s">
        <v>26</v>
      </c>
      <c r="P18" s="42">
        <v>1450978</v>
      </c>
      <c r="Q18" s="83">
        <f>=P18/3600</f>
        <v>403.049444444445</v>
      </c>
      <c r="R18" s="42">
        <v>499</v>
      </c>
      <c r="S18" s="42" t="s">
        <v>85</v>
      </c>
      <c r="U18" s="111" t="s">
        <v>86</v>
      </c>
      <c r="V18" s="45" t="s">
        <v>26</v>
      </c>
      <c r="W18" s="46" t="s">
        <v>26</v>
      </c>
      <c r="AF18" s="47" t="s"/>
    </row>
    <row r="19" spans="1:32" s="283" customFormat="true" customHeight="true">
      <c r="A19" s="112" t="s"/>
      <c r="B19" s="109" t="s">
        <v>20</v>
      </c>
      <c r="C19" s="113" t="s">
        <v>41</v>
      </c>
      <c r="D19" s="114" t="s"/>
      <c r="E19" s="59" t="s">
        <v>87</v>
      </c>
      <c r="F19" s="59" t="s"/>
      <c r="G19" s="61" t="s"/>
      <c r="H19" s="59" t="s">
        <v>44</v>
      </c>
      <c r="I19" s="59" t="s">
        <v>80</v>
      </c>
      <c r="J19" s="59" t="s">
        <v>84</v>
      </c>
      <c r="K19" s="59">
        <v>24</v>
      </c>
      <c r="L19" s="59" t="s"/>
      <c r="M19" s="59" t="s">
        <v>26</v>
      </c>
      <c r="N19" s="59" t="s">
        <v>26</v>
      </c>
      <c r="O19" s="59" t="s">
        <v>26</v>
      </c>
      <c r="P19" s="59">
        <v>1450791</v>
      </c>
      <c r="Q19" s="115">
        <f>=P19/3600</f>
        <v>402.9975</v>
      </c>
      <c r="R19" s="59">
        <v>501</v>
      </c>
      <c r="S19" s="59" t="s">
        <v>88</v>
      </c>
      <c r="T19" s="65" t="s"/>
      <c r="U19" s="111" t="s">
        <v>89</v>
      </c>
      <c r="V19" s="63" t="s">
        <v>26</v>
      </c>
      <c r="W19" s="64" t="s">
        <v>26</v>
      </c>
      <c r="X19" s="65" t="s"/>
      <c r="Y19" s="66" t="s"/>
      <c r="Z19" s="66" t="s"/>
      <c r="AA19" s="66" t="s"/>
      <c r="AB19" s="66" t="s"/>
      <c r="AC19" s="66" t="s"/>
      <c r="AD19" s="66" t="s"/>
      <c r="AE19" s="66" t="s"/>
      <c r="AF19" s="67" t="s"/>
    </row>
    <row r="20" spans="1:32" s="282" customFormat="true" ht="23" customHeight="true">
      <c r="A20" s="116" t="s">
        <v>90</v>
      </c>
      <c r="B20" s="26" t="s">
        <v>20</v>
      </c>
      <c r="C20" s="49" t="s">
        <v>58</v>
      </c>
      <c r="D20" s="117" t="s">
        <v>527</v>
      </c>
      <c r="E20" s="118" t="s">
        <v>26</v>
      </c>
      <c r="F20" s="119" t="s">
        <v>91</v>
      </c>
      <c r="G20" s="31" t="s"/>
      <c r="H20" s="119" t="s">
        <v>92</v>
      </c>
      <c r="I20" s="119" t="s">
        <v>93</v>
      </c>
      <c r="J20" s="119" t="s">
        <v>94</v>
      </c>
      <c r="K20" s="119">
        <v>144</v>
      </c>
      <c r="L20" s="119" t="s"/>
      <c r="M20" s="119" t="s">
        <v>26</v>
      </c>
      <c r="N20" s="119" t="s">
        <v>26</v>
      </c>
      <c r="O20" s="119" t="s">
        <v>26</v>
      </c>
      <c r="P20" s="119">
        <v>6991226</v>
      </c>
      <c r="Q20" s="120">
        <f>=P20/3600</f>
        <v>1942.00722222222</v>
      </c>
      <c r="R20" s="119">
        <v>1365</v>
      </c>
      <c r="S20" s="119" t="s">
        <v>95</v>
      </c>
      <c r="T20" s="32" t="s"/>
      <c r="U20" s="76" t="s">
        <v>96</v>
      </c>
      <c r="V20" s="34" t="s">
        <v>26</v>
      </c>
      <c r="W20" s="77" t="s">
        <v>26</v>
      </c>
      <c r="X20" s="32" t="s"/>
      <c r="Y20" s="36" t="s"/>
      <c r="Z20" s="36" t="s"/>
      <c r="AA20" s="36" t="s"/>
      <c r="AB20" s="36" t="s"/>
      <c r="AC20" s="36" t="s"/>
      <c r="AD20" s="36" t="s"/>
      <c r="AE20" s="36" t="s"/>
      <c r="AF20" s="37" t="s"/>
    </row>
    <row r="21" spans="1:32" customHeight="true">
      <c r="A21" s="121" t="s">
        <v>97</v>
      </c>
      <c r="B21" s="122" t="s">
        <v>65</v>
      </c>
      <c r="C21" s="123" t="s">
        <v>58</v>
      </c>
      <c r="D21" s="124" t="s">
        <v>98</v>
      </c>
      <c r="E21" s="89" t="s">
        <v>26</v>
      </c>
      <c r="F21" s="125" t="s">
        <v>91</v>
      </c>
      <c r="G21" s="103" t="s"/>
      <c r="H21" s="92" t="s">
        <v>92</v>
      </c>
      <c r="I21" s="92" t="s">
        <v>93</v>
      </c>
      <c r="J21" s="92" t="s">
        <v>67</v>
      </c>
      <c r="K21" s="92">
        <v>24</v>
      </c>
      <c r="L21" s="92" t="s"/>
      <c r="M21" s="92" t="s">
        <v>26</v>
      </c>
      <c r="N21" s="92" t="s">
        <v>26</v>
      </c>
      <c r="O21" s="92" t="s">
        <v>26</v>
      </c>
      <c r="P21" s="92">
        <v>546984</v>
      </c>
      <c r="Q21" s="126">
        <f>=P21/3600</f>
        <v>151.94</v>
      </c>
      <c r="R21" s="92">
        <v>106</v>
      </c>
      <c r="S21" s="92" t="s">
        <v>99</v>
      </c>
      <c r="U21" s="50" t="s">
        <v>69</v>
      </c>
      <c r="V21" s="45" t="s">
        <v>26</v>
      </c>
      <c r="W21" s="46" t="s">
        <v>26</v>
      </c>
      <c r="AF21" s="95" t="s"/>
    </row>
    <row r="22" spans="1:32" ht="18" customHeight="true">
      <c r="A22" s="53" t="s">
        <v>100</v>
      </c>
      <c r="B22" s="54" t="s">
        <v>20</v>
      </c>
      <c r="C22" s="127" t="s">
        <v>58</v>
      </c>
      <c r="D22" s="128" t="s">
        <v>101</v>
      </c>
      <c r="E22" s="41" t="s">
        <v>102</v>
      </c>
      <c r="F22" s="129" t="s"/>
      <c r="G22" s="55" t="s"/>
      <c r="H22" s="42" t="s">
        <v>92</v>
      </c>
      <c r="I22" s="42" t="s">
        <v>93</v>
      </c>
      <c r="J22" s="42" t="s">
        <v>103</v>
      </c>
      <c r="K22" s="42">
        <v>4</v>
      </c>
      <c r="L22" s="42" t="s"/>
      <c r="M22" s="42" t="s">
        <v>26</v>
      </c>
      <c r="N22" s="42" t="s">
        <v>26</v>
      </c>
      <c r="O22" s="42" t="s">
        <v>26</v>
      </c>
      <c r="P22" s="42">
        <v>53522319</v>
      </c>
      <c r="Q22" s="83">
        <f>=P22/3600</f>
        <v>14867.3108333333</v>
      </c>
      <c r="R22" s="42">
        <v>10453</v>
      </c>
      <c r="S22" s="42" t="s">
        <v>104</v>
      </c>
      <c r="U22" s="50" t="s">
        <v>105</v>
      </c>
      <c r="V22" s="45" t="s">
        <v>26</v>
      </c>
      <c r="W22" s="46" t="s">
        <v>26</v>
      </c>
      <c r="AF22" s="47" t="s"/>
    </row>
    <row r="23" spans="1:32" customHeight="true">
      <c r="A23" s="53" t="s">
        <v>106</v>
      </c>
      <c r="B23" s="54" t="s">
        <v>20</v>
      </c>
      <c r="C23" s="127" t="s">
        <v>107</v>
      </c>
      <c r="D23" s="42" t="s">
        <v>528</v>
      </c>
      <c r="E23" s="41" t="s">
        <v>26</v>
      </c>
      <c r="F23" s="129" t="s"/>
      <c r="G23" s="55" t="s"/>
      <c r="H23" s="42" t="s">
        <v>92</v>
      </c>
      <c r="I23" s="42" t="s">
        <v>93</v>
      </c>
      <c r="J23" s="42" t="s">
        <v>108</v>
      </c>
      <c r="K23" s="42">
        <v>1</v>
      </c>
      <c r="L23" s="42" t="s"/>
      <c r="M23" s="42" t="s">
        <v>26</v>
      </c>
      <c r="N23" s="42" t="s">
        <v>26</v>
      </c>
      <c r="O23" s="42" t="s">
        <v>26</v>
      </c>
      <c r="P23" s="42">
        <v>609103973</v>
      </c>
      <c r="Q23" s="83">
        <f>=P23/3600</f>
        <v>169195.548055556</v>
      </c>
      <c r="R23" s="42">
        <v>118965</v>
      </c>
      <c r="S23" s="42" t="s">
        <v>109</v>
      </c>
      <c r="U23" s="52" t="s">
        <v>110</v>
      </c>
      <c r="V23" s="45" t="s">
        <v>26</v>
      </c>
      <c r="W23" s="46" t="s">
        <v>26</v>
      </c>
      <c r="AF23" s="47" t="s"/>
    </row>
    <row r="24" spans="1:32" customHeight="true">
      <c r="A24" s="53" t="s">
        <v>111</v>
      </c>
      <c r="B24" s="54" t="s">
        <v>20</v>
      </c>
      <c r="C24" s="127" t="s">
        <v>58</v>
      </c>
      <c r="D24" s="42" t="s">
        <v>529</v>
      </c>
      <c r="E24" s="41" t="s">
        <v>26</v>
      </c>
      <c r="F24" s="129" t="s"/>
      <c r="G24" s="55" t="s"/>
      <c r="H24" s="42" t="s">
        <v>92</v>
      </c>
      <c r="I24" s="42" t="s">
        <v>93</v>
      </c>
      <c r="J24" s="42" t="s">
        <v>94</v>
      </c>
      <c r="K24" s="42">
        <v>72</v>
      </c>
      <c r="L24" s="42" t="s"/>
      <c r="M24" s="42" t="s">
        <v>26</v>
      </c>
      <c r="N24" s="42" t="s">
        <v>26</v>
      </c>
      <c r="O24" s="42" t="s">
        <v>26</v>
      </c>
      <c r="P24" s="42">
        <v>4017565</v>
      </c>
      <c r="Q24" s="83">
        <f>=P24/3600</f>
        <v>1115.99027777778</v>
      </c>
      <c r="R24" s="42">
        <v>783</v>
      </c>
      <c r="S24" s="42" t="s">
        <v>112</v>
      </c>
      <c r="U24" s="52" t="s">
        <v>113</v>
      </c>
      <c r="V24" s="45" t="s">
        <v>26</v>
      </c>
      <c r="W24" s="46" t="s">
        <v>26</v>
      </c>
      <c r="AF24" s="47" t="s"/>
    </row>
    <row r="25" spans="1:32" customHeight="true">
      <c r="A25" s="53" t="s">
        <v>114</v>
      </c>
      <c r="B25" s="130" t="s">
        <v>65</v>
      </c>
      <c r="C25" s="131" t="s">
        <v>58</v>
      </c>
      <c r="E25" s="41" t="s">
        <v>26</v>
      </c>
      <c r="F25" s="42" t="s"/>
      <c r="G25" s="55" t="s"/>
      <c r="H25" s="42" t="s">
        <v>92</v>
      </c>
      <c r="I25" s="42" t="s">
        <v>93</v>
      </c>
      <c r="K25" s="132">
        <v>72</v>
      </c>
      <c r="M25" s="42" t="s">
        <v>26</v>
      </c>
      <c r="N25" s="42" t="s">
        <v>26</v>
      </c>
      <c r="O25" s="42" t="s">
        <v>26</v>
      </c>
      <c r="P25" s="42">
        <v>603181</v>
      </c>
      <c r="Q25" s="83">
        <f>=P25/3600</f>
        <v>167.550277777778</v>
      </c>
      <c r="R25" s="42">
        <v>116</v>
      </c>
      <c r="S25" s="42" t="s">
        <v>115</v>
      </c>
      <c r="U25" s="50" t="s">
        <v>116</v>
      </c>
      <c r="V25" s="45" t="s">
        <v>26</v>
      </c>
      <c r="W25" s="46" t="s">
        <v>26</v>
      </c>
      <c r="AF25" s="47" t="s"/>
    </row>
    <row r="26" spans="1:32" s="284" customFormat="true" customHeight="true">
      <c r="A26" s="133" t="s">
        <v>117</v>
      </c>
      <c r="B26" s="134" t="s">
        <v>20</v>
      </c>
      <c r="C26" s="135" t="s">
        <v>107</v>
      </c>
      <c r="D26" s="136" t="s">
        <v>530</v>
      </c>
      <c r="E26" s="137" t="s">
        <v>26</v>
      </c>
      <c r="F26" s="136" t="s"/>
      <c r="G26" s="138" t="s"/>
      <c r="H26" s="136" t="s">
        <v>92</v>
      </c>
      <c r="I26" s="136" t="s">
        <v>93</v>
      </c>
      <c r="J26" s="136" t="s">
        <v>118</v>
      </c>
      <c r="K26" s="136">
        <v>3</v>
      </c>
      <c r="L26" s="136" t="s"/>
      <c r="M26" s="136" t="s">
        <v>26</v>
      </c>
      <c r="N26" s="136" t="s">
        <v>26</v>
      </c>
      <c r="O26" s="136" t="s">
        <v>26</v>
      </c>
      <c r="P26" s="136">
        <v>1321758</v>
      </c>
      <c r="Q26" s="139">
        <f>=P26/3600</f>
        <v>367.155</v>
      </c>
      <c r="R26" s="136">
        <v>257</v>
      </c>
      <c r="S26" s="136" t="s">
        <v>119</v>
      </c>
      <c r="T26" s="140" t="s"/>
      <c r="U26" s="141" t="s">
        <v>120</v>
      </c>
      <c r="V26" s="142" t="s">
        <v>26</v>
      </c>
      <c r="W26" s="143" t="s">
        <v>26</v>
      </c>
      <c r="X26" s="140" t="s"/>
      <c r="Y26" s="144" t="s"/>
      <c r="Z26" s="144" t="s"/>
      <c r="AA26" s="144" t="s"/>
      <c r="AB26" s="144" t="s"/>
      <c r="AC26" s="144" t="s"/>
      <c r="AD26" s="144" t="s"/>
      <c r="AE26" s="144" t="s"/>
      <c r="AF26" s="145" t="s"/>
    </row>
    <row r="27" spans="1:32" s="282" customFormat="true" customHeight="true">
      <c r="A27" s="25" t="s">
        <v>121</v>
      </c>
      <c r="B27" s="146" t="s">
        <v>20</v>
      </c>
      <c r="C27" s="147" t="s">
        <v>58</v>
      </c>
      <c r="D27" s="148" t="s">
        <v>122</v>
      </c>
      <c r="E27" s="149" t="s">
        <v>26</v>
      </c>
      <c r="F27" s="30" t="s">
        <v>123</v>
      </c>
      <c r="G27" s="150" t="s">
        <v>23</v>
      </c>
      <c r="H27" s="30" t="s">
        <v>124</v>
      </c>
      <c r="I27" s="30" t="s">
        <v>125</v>
      </c>
      <c r="J27" s="30" t="s">
        <v>126</v>
      </c>
      <c r="K27" s="30">
        <v>24</v>
      </c>
      <c r="L27" s="30" t="s"/>
      <c r="M27" s="30" t="s">
        <v>26</v>
      </c>
      <c r="N27" s="30" t="s">
        <v>26</v>
      </c>
      <c r="O27" s="30" t="s">
        <v>26</v>
      </c>
      <c r="P27" s="30">
        <v>37019654</v>
      </c>
      <c r="Q27" s="74">
        <f>=P27/3600</f>
        <v>10283.2372222222</v>
      </c>
      <c r="R27" s="30">
        <v>8999</v>
      </c>
      <c r="S27" s="30" t="s">
        <v>127</v>
      </c>
      <c r="U27" s="76" t="s">
        <v>128</v>
      </c>
      <c r="V27" s="151" t="s">
        <v>129</v>
      </c>
      <c r="W27" s="152" t="s">
        <v>26</v>
      </c>
      <c r="X27" s="153" t="s">
        <v>130</v>
      </c>
      <c r="Y27" s="36" t="s"/>
      <c r="Z27" s="36" t="s"/>
      <c r="AA27" s="36" t="s"/>
      <c r="AB27" s="36" t="s"/>
      <c r="AC27" s="36" t="s"/>
      <c r="AD27" s="36" t="s"/>
      <c r="AE27" s="36" t="s"/>
      <c r="AF27" s="37" t="s"/>
    </row>
    <row r="28" spans="1:32" customHeight="true">
      <c r="A28" s="53" t="s">
        <v>131</v>
      </c>
      <c r="B28" s="154" t="s">
        <v>20</v>
      </c>
      <c r="C28" s="147" t="s">
        <v>58</v>
      </c>
      <c r="D28" s="155" t="s">
        <v>132</v>
      </c>
      <c r="E28" s="156" t="s">
        <v>133</v>
      </c>
      <c r="F28" s="42" t="s">
        <v>134</v>
      </c>
      <c r="G28" s="55" t="s">
        <v>23</v>
      </c>
      <c r="H28" s="42" t="s">
        <v>124</v>
      </c>
      <c r="I28" s="42" t="s">
        <v>125</v>
      </c>
      <c r="J28" s="42" t="s">
        <v>135</v>
      </c>
      <c r="K28" s="132">
        <v>24</v>
      </c>
      <c r="L28" s="132" t="s"/>
      <c r="M28" s="42" t="s">
        <v>26</v>
      </c>
      <c r="N28" s="42" t="s">
        <v>26</v>
      </c>
      <c r="O28" s="42" t="s">
        <v>26</v>
      </c>
      <c r="P28" s="42">
        <v>4204875</v>
      </c>
      <c r="Q28" s="83">
        <f>=P28/3600</f>
        <v>1168.02083333333</v>
      </c>
      <c r="R28" s="42">
        <v>1004</v>
      </c>
      <c r="S28" s="42" t="s">
        <v>85</v>
      </c>
      <c r="U28" s="50" t="s">
        <v>136</v>
      </c>
      <c r="V28" s="157" t="s">
        <v>137</v>
      </c>
      <c r="W28" s="46" t="s">
        <v>26</v>
      </c>
      <c r="X28" s="52" t="s">
        <v>138</v>
      </c>
      <c r="AF28" s="47" t="s"/>
    </row>
    <row r="29" spans="1:32" customHeight="true">
      <c r="A29" s="158" t="s"/>
      <c r="B29" s="159" t="s">
        <v>20</v>
      </c>
      <c r="C29" s="147" t="s">
        <v>58</v>
      </c>
      <c r="E29" s="160" t="s">
        <v>139</v>
      </c>
      <c r="F29" s="42" t="s">
        <v>134</v>
      </c>
      <c r="G29" s="55" t="s">
        <v>23</v>
      </c>
      <c r="H29" s="42" t="s">
        <v>124</v>
      </c>
      <c r="I29" s="42" t="s">
        <v>125</v>
      </c>
      <c r="K29" s="90">
        <v>24</v>
      </c>
      <c r="L29" s="90" t="s"/>
      <c r="M29" s="42" t="s">
        <v>26</v>
      </c>
      <c r="N29" s="42" t="s">
        <v>26</v>
      </c>
      <c r="O29" s="42" t="s">
        <v>26</v>
      </c>
      <c r="P29" s="42">
        <v>7890698</v>
      </c>
      <c r="Q29" s="83">
        <f>=P29/3600</f>
        <v>2191.86055555556</v>
      </c>
      <c r="R29" s="42">
        <v>1882</v>
      </c>
      <c r="S29" s="42" t="s">
        <v>140</v>
      </c>
      <c r="V29" s="157" t="s">
        <v>141</v>
      </c>
      <c r="W29" s="46" t="s">
        <v>26</v>
      </c>
      <c r="X29" s="52" t="s">
        <v>142</v>
      </c>
      <c r="AF29" s="47" t="s"/>
    </row>
    <row r="30" spans="1:32" customHeight="true">
      <c r="A30" s="158" t="s"/>
      <c r="B30" s="159" t="s">
        <v>20</v>
      </c>
      <c r="C30" s="147" t="s">
        <v>58</v>
      </c>
      <c r="E30" s="160" t="s">
        <v>143</v>
      </c>
      <c r="F30" s="42" t="s">
        <v>134</v>
      </c>
      <c r="G30" s="55" t="s">
        <v>23</v>
      </c>
      <c r="H30" s="42" t="s">
        <v>124</v>
      </c>
      <c r="I30" s="42" t="s">
        <v>125</v>
      </c>
      <c r="K30" s="90">
        <v>24</v>
      </c>
      <c r="L30" s="90" t="s"/>
      <c r="M30" s="42" t="s">
        <v>26</v>
      </c>
      <c r="N30" s="42" t="s">
        <v>26</v>
      </c>
      <c r="O30" s="42" t="s">
        <v>26</v>
      </c>
      <c r="P30" s="42">
        <v>13078388</v>
      </c>
      <c r="Q30" s="83">
        <f>=P30/3600</f>
        <v>3632.88555555556</v>
      </c>
      <c r="R30" s="42">
        <v>3131</v>
      </c>
      <c r="S30" s="42" t="s">
        <v>144</v>
      </c>
      <c r="V30" s="157" t="s">
        <v>145</v>
      </c>
      <c r="W30" s="46" t="s">
        <v>26</v>
      </c>
      <c r="X30" s="52" t="s">
        <v>146</v>
      </c>
      <c r="AF30" s="47" t="s"/>
    </row>
    <row r="31" spans="1:32" customHeight="true">
      <c r="A31" s="158" t="s"/>
      <c r="B31" s="159" t="s">
        <v>20</v>
      </c>
      <c r="C31" s="147" t="s">
        <v>58</v>
      </c>
      <c r="E31" s="160" t="s">
        <v>147</v>
      </c>
      <c r="F31" s="42" t="s">
        <v>134</v>
      </c>
      <c r="G31" s="55" t="s">
        <v>23</v>
      </c>
      <c r="H31" s="42" t="s">
        <v>124</v>
      </c>
      <c r="I31" s="42" t="s">
        <v>125</v>
      </c>
      <c r="K31" s="90">
        <v>24</v>
      </c>
      <c r="L31" s="90" t="s"/>
      <c r="M31" s="42" t="s">
        <v>26</v>
      </c>
      <c r="N31" s="42" t="s">
        <v>26</v>
      </c>
      <c r="O31" s="42" t="s">
        <v>26</v>
      </c>
      <c r="P31" s="42">
        <v>14022017</v>
      </c>
      <c r="Q31" s="83">
        <f>=P31/3600</f>
        <v>3895.00472222222</v>
      </c>
      <c r="R31" s="42">
        <v>3368</v>
      </c>
      <c r="S31" s="42" t="s">
        <v>148</v>
      </c>
      <c r="T31" s="161" t="s"/>
      <c r="V31" s="157" t="s">
        <v>149</v>
      </c>
      <c r="W31" s="46" t="s">
        <v>26</v>
      </c>
      <c r="X31" s="52" t="s">
        <v>150</v>
      </c>
      <c r="AF31" s="47" t="s"/>
    </row>
    <row r="32" spans="1:32" customHeight="true">
      <c r="A32" s="158" t="s"/>
      <c r="B32" s="159" t="s">
        <v>20</v>
      </c>
      <c r="C32" s="147" t="s">
        <v>58</v>
      </c>
      <c r="E32" s="160" t="s">
        <v>151</v>
      </c>
      <c r="F32" s="42" t="s">
        <v>134</v>
      </c>
      <c r="G32" s="55" t="s">
        <v>23</v>
      </c>
      <c r="H32" s="42" t="s">
        <v>124</v>
      </c>
      <c r="I32" s="42" t="s">
        <v>125</v>
      </c>
      <c r="K32" s="90">
        <v>24</v>
      </c>
      <c r="L32" s="90" t="s"/>
      <c r="M32" s="42" t="s">
        <v>26</v>
      </c>
      <c r="N32" s="42" t="s">
        <v>26</v>
      </c>
      <c r="O32" s="42" t="s">
        <v>26</v>
      </c>
      <c r="P32" s="42">
        <v>1660490</v>
      </c>
      <c r="Q32" s="83">
        <f>=P32/3600</f>
        <v>461.247222222222</v>
      </c>
      <c r="R32" s="42">
        <v>398</v>
      </c>
      <c r="S32" s="42" t="s">
        <v>152</v>
      </c>
      <c r="T32" s="162" t="s"/>
      <c r="V32" s="157" t="s">
        <v>153</v>
      </c>
      <c r="W32" s="46" t="s">
        <v>26</v>
      </c>
      <c r="X32" s="52" t="s">
        <v>154</v>
      </c>
      <c r="AF32" s="47" t="s"/>
    </row>
    <row r="33" spans="1:32" customHeight="true">
      <c r="A33" s="85" t="s">
        <v>155</v>
      </c>
      <c r="B33" s="163" t="s">
        <v>20</v>
      </c>
      <c r="C33" s="49" t="s">
        <v>58</v>
      </c>
      <c r="D33" s="164" t="s">
        <v>529</v>
      </c>
      <c r="E33" s="89" t="s">
        <v>156</v>
      </c>
      <c r="F33" s="92" t="s">
        <v>157</v>
      </c>
      <c r="G33" s="103" t="s">
        <v>23</v>
      </c>
      <c r="H33" s="92" t="s">
        <v>124</v>
      </c>
      <c r="I33" s="92" t="s">
        <v>60</v>
      </c>
      <c r="J33" s="92" t="s">
        <v>94</v>
      </c>
      <c r="K33" s="132">
        <v>24</v>
      </c>
      <c r="L33" s="165" t="s"/>
      <c r="M33" s="92" t="s">
        <v>26</v>
      </c>
      <c r="N33" s="92" t="s">
        <v>26</v>
      </c>
      <c r="O33" s="92" t="s">
        <v>26</v>
      </c>
      <c r="P33" s="92">
        <v>24667215</v>
      </c>
      <c r="Q33" s="126">
        <f>=P33/3600</f>
        <v>6852.00416666667</v>
      </c>
      <c r="R33" s="92">
        <v>5960</v>
      </c>
      <c r="S33" s="92" t="s">
        <v>158</v>
      </c>
      <c r="T33" s="52" t="s"/>
      <c r="U33" s="50" t="s">
        <v>159</v>
      </c>
      <c r="V33" s="157" t="s">
        <v>160</v>
      </c>
      <c r="W33" s="46" t="s">
        <v>26</v>
      </c>
      <c r="AF33" s="95" t="s"/>
    </row>
    <row r="34" spans="1:32" customHeight="true">
      <c r="A34" s="166" t="s"/>
      <c r="B34" s="163" t="s">
        <v>20</v>
      </c>
      <c r="C34" s="127" t="s">
        <v>58</v>
      </c>
      <c r="E34" s="89" t="s">
        <v>161</v>
      </c>
      <c r="F34" s="92" t="s">
        <v>157</v>
      </c>
      <c r="G34" s="103" t="s">
        <v>23</v>
      </c>
      <c r="H34" s="92" t="s">
        <v>124</v>
      </c>
      <c r="I34" s="92" t="s">
        <v>60</v>
      </c>
      <c r="K34" s="90">
        <v>24</v>
      </c>
      <c r="L34" s="165" t="s"/>
      <c r="M34" s="92" t="s">
        <v>26</v>
      </c>
      <c r="N34" s="92" t="s">
        <v>26</v>
      </c>
      <c r="O34" s="92" t="s">
        <v>26</v>
      </c>
      <c r="P34" s="92">
        <v>60947554</v>
      </c>
      <c r="Q34" s="126">
        <f>=P34/3600</f>
        <v>16929.8761111111</v>
      </c>
      <c r="R34" s="92">
        <v>14657</v>
      </c>
      <c r="S34" s="92" t="s">
        <v>162</v>
      </c>
      <c r="T34" s="52" t="s"/>
      <c r="U34" s="50" t="s">
        <v>163</v>
      </c>
      <c r="V34" s="157" t="s">
        <v>164</v>
      </c>
      <c r="W34" s="46" t="s">
        <v>26</v>
      </c>
      <c r="AF34" s="95" t="s"/>
    </row>
    <row r="35" spans="1:32" customHeight="true">
      <c r="A35" s="167" t="s"/>
      <c r="B35" s="163" t="s">
        <v>20</v>
      </c>
      <c r="C35" s="127" t="s">
        <v>58</v>
      </c>
      <c r="E35" s="89" t="s">
        <v>165</v>
      </c>
      <c r="F35" s="92" t="s">
        <v>157</v>
      </c>
      <c r="G35" s="103" t="s">
        <v>23</v>
      </c>
      <c r="H35" s="92" t="s">
        <v>124</v>
      </c>
      <c r="I35" s="92" t="s">
        <v>60</v>
      </c>
      <c r="K35" s="90">
        <v>24</v>
      </c>
      <c r="L35" s="165" t="s"/>
      <c r="M35" s="92" t="s">
        <v>26</v>
      </c>
      <c r="N35" s="92" t="s">
        <v>26</v>
      </c>
      <c r="O35" s="92" t="s">
        <v>26</v>
      </c>
      <c r="P35" s="92">
        <v>92080199</v>
      </c>
      <c r="Q35" s="126">
        <f>=P35/3600</f>
        <v>25577.8330555556</v>
      </c>
      <c r="R35" s="92">
        <v>22344</v>
      </c>
      <c r="S35" s="92" t="s">
        <v>166</v>
      </c>
      <c r="T35" s="52" t="s"/>
      <c r="U35" s="50" t="s">
        <v>167</v>
      </c>
      <c r="V35" s="157" t="s">
        <v>168</v>
      </c>
      <c r="W35" s="46" t="s">
        <v>26</v>
      </c>
      <c r="AF35" s="95" t="s"/>
    </row>
    <row r="36" spans="1:32" customHeight="true">
      <c r="A36" s="101" t="s">
        <v>169</v>
      </c>
      <c r="B36" s="163" t="s">
        <v>20</v>
      </c>
      <c r="C36" s="127" t="s">
        <v>107</v>
      </c>
      <c r="D36" s="164" t="s">
        <v>101</v>
      </c>
      <c r="E36" s="89" t="s">
        <v>170</v>
      </c>
      <c r="F36" s="92" t="s"/>
      <c r="G36" s="103" t="s"/>
      <c r="H36" s="92" t="s">
        <v>124</v>
      </c>
      <c r="I36" s="92" t="s">
        <v>60</v>
      </c>
      <c r="J36" s="92" t="s">
        <v>103</v>
      </c>
      <c r="K36" s="165">
        <v>1</v>
      </c>
      <c r="L36" s="165" t="s"/>
      <c r="M36" s="92" t="s">
        <v>26</v>
      </c>
      <c r="N36" s="92" t="s">
        <v>26</v>
      </c>
      <c r="O36" s="92" t="s">
        <v>26</v>
      </c>
      <c r="P36" s="92">
        <v>2514341407</v>
      </c>
      <c r="Q36" s="126">
        <f>=P36/3600</f>
        <v>698428.168611111</v>
      </c>
      <c r="R36" s="92">
        <v>611102</v>
      </c>
      <c r="S36" s="92" t="s">
        <v>171</v>
      </c>
      <c r="U36" s="50" t="s">
        <v>172</v>
      </c>
      <c r="V36" s="157" t="s">
        <v>173</v>
      </c>
      <c r="W36" s="46" t="s">
        <v>26</v>
      </c>
      <c r="AF36" s="95" t="s"/>
    </row>
    <row r="37" spans="1:32" customHeight="true">
      <c r="A37" s="166" t="s"/>
      <c r="B37" s="163" t="s">
        <v>20</v>
      </c>
      <c r="C37" s="127" t="s">
        <v>107</v>
      </c>
      <c r="E37" s="89" t="s">
        <v>174</v>
      </c>
      <c r="F37" s="92" t="s"/>
      <c r="G37" s="103" t="s"/>
      <c r="H37" s="92" t="s">
        <v>124</v>
      </c>
      <c r="I37" s="92" t="s">
        <v>60</v>
      </c>
      <c r="K37" s="165">
        <v>1</v>
      </c>
      <c r="L37" s="165" t="s"/>
      <c r="M37" s="92" t="s">
        <v>26</v>
      </c>
      <c r="N37" s="92" t="s">
        <v>26</v>
      </c>
      <c r="O37" s="92" t="s">
        <v>26</v>
      </c>
      <c r="P37" s="92">
        <v>1064487355</v>
      </c>
      <c r="Q37" s="126">
        <f>=P37/3600</f>
        <v>295690.931944445</v>
      </c>
      <c r="R37" s="92">
        <v>257073</v>
      </c>
      <c r="S37" s="92" t="s">
        <v>175</v>
      </c>
      <c r="U37" s="50" t="s">
        <v>176</v>
      </c>
      <c r="V37" s="157" t="s">
        <v>177</v>
      </c>
      <c r="W37" s="46" t="s">
        <v>26</v>
      </c>
      <c r="AF37" s="95" t="s"/>
    </row>
    <row r="38" spans="1:32" customHeight="true">
      <c r="A38" s="166" t="s"/>
      <c r="B38" s="163" t="s">
        <v>20</v>
      </c>
      <c r="C38" s="127" t="s">
        <v>107</v>
      </c>
      <c r="E38" s="89" t="s">
        <v>178</v>
      </c>
      <c r="F38" s="92" t="s"/>
      <c r="G38" s="103" t="s"/>
      <c r="H38" s="92" t="s">
        <v>124</v>
      </c>
      <c r="I38" s="92" t="s">
        <v>60</v>
      </c>
      <c r="K38" s="165">
        <v>1</v>
      </c>
      <c r="L38" s="165" t="s"/>
      <c r="M38" s="92" t="s">
        <v>26</v>
      </c>
      <c r="N38" s="92" t="s">
        <v>26</v>
      </c>
      <c r="O38" s="92" t="s">
        <v>26</v>
      </c>
      <c r="P38" s="92">
        <v>703289437</v>
      </c>
      <c r="Q38" s="126">
        <f>=P38/3600</f>
        <v>195358.176944444</v>
      </c>
      <c r="R38" s="92">
        <v>170431</v>
      </c>
      <c r="S38" s="92" t="s">
        <v>179</v>
      </c>
      <c r="U38" s="50" t="s">
        <v>180</v>
      </c>
      <c r="V38" s="157" t="s">
        <v>181</v>
      </c>
      <c r="W38" s="46" t="s">
        <v>26</v>
      </c>
      <c r="AF38" s="95" t="s"/>
    </row>
    <row r="39" spans="1:32" customHeight="true">
      <c r="A39" s="167" t="s"/>
      <c r="B39" s="163" t="s">
        <v>20</v>
      </c>
      <c r="C39" s="49" t="s">
        <v>107</v>
      </c>
      <c r="E39" s="89" t="s">
        <v>182</v>
      </c>
      <c r="F39" s="92" t="s"/>
      <c r="G39" s="103" t="s"/>
      <c r="H39" s="92" t="s">
        <v>124</v>
      </c>
      <c r="I39" s="92" t="s">
        <v>60</v>
      </c>
      <c r="K39" s="165">
        <v>1</v>
      </c>
      <c r="L39" s="165" t="s"/>
      <c r="M39" s="92" t="s">
        <v>26</v>
      </c>
      <c r="N39" s="92" t="s">
        <v>26</v>
      </c>
      <c r="O39" s="92" t="s">
        <v>26</v>
      </c>
      <c r="P39" s="92">
        <v>1312090837</v>
      </c>
      <c r="Q39" s="126">
        <f>=P39/3600</f>
        <v>364469.676944445</v>
      </c>
      <c r="R39" s="92">
        <v>318381</v>
      </c>
      <c r="S39" s="92" t="s">
        <v>183</v>
      </c>
      <c r="U39" s="50" t="s">
        <v>184</v>
      </c>
      <c r="V39" s="157" t="s">
        <v>185</v>
      </c>
      <c r="W39" s="46" t="s">
        <v>26</v>
      </c>
      <c r="AF39" s="95" t="s"/>
    </row>
    <row r="40" spans="1:32" customHeight="true">
      <c r="A40" s="101" t="s">
        <v>186</v>
      </c>
      <c r="B40" s="163" t="s">
        <v>20</v>
      </c>
      <c r="C40" s="127" t="s">
        <v>107</v>
      </c>
      <c r="D40" s="168" t="s">
        <v>187</v>
      </c>
      <c r="E40" s="89" t="s">
        <v>188</v>
      </c>
      <c r="F40" s="92" t="s"/>
      <c r="G40" s="103" t="s"/>
      <c r="H40" s="92" t="s">
        <v>124</v>
      </c>
      <c r="I40" s="92" t="s">
        <v>60</v>
      </c>
      <c r="J40" s="169" t="s">
        <v>108</v>
      </c>
      <c r="K40" s="165">
        <v>1</v>
      </c>
      <c r="L40" s="165" t="s"/>
      <c r="M40" s="92" t="s">
        <v>26</v>
      </c>
      <c r="N40" s="92" t="s">
        <v>26</v>
      </c>
      <c r="O40" s="92" t="s">
        <v>26</v>
      </c>
      <c r="P40" s="92">
        <v>2334537677</v>
      </c>
      <c r="Q40" s="126">
        <f>=P40/3600</f>
        <v>648482.688055556</v>
      </c>
      <c r="R40" s="92">
        <v>569741</v>
      </c>
      <c r="S40" s="92" t="s">
        <v>189</v>
      </c>
      <c r="U40" s="50" t="s">
        <v>190</v>
      </c>
      <c r="V40" s="157" t="s">
        <v>191</v>
      </c>
      <c r="W40" s="46" t="s">
        <v>26</v>
      </c>
      <c r="AF40" s="95" t="s"/>
    </row>
    <row r="41" spans="1:32" customHeight="true">
      <c r="A41" s="166" t="s"/>
      <c r="B41" s="163" t="s">
        <v>20</v>
      </c>
      <c r="C41" s="147" t="s">
        <v>107</v>
      </c>
      <c r="D41" s="170" t="s"/>
      <c r="E41" s="89" t="s">
        <v>192</v>
      </c>
      <c r="F41" s="92" t="s"/>
      <c r="G41" s="103" t="s"/>
      <c r="H41" s="92" t="s">
        <v>124</v>
      </c>
      <c r="I41" s="92" t="s">
        <v>60</v>
      </c>
      <c r="J41" s="170" t="s"/>
      <c r="K41" s="165">
        <v>1</v>
      </c>
      <c r="L41" s="165" t="s"/>
      <c r="M41" s="92" t="s">
        <v>26</v>
      </c>
      <c r="N41" s="92" t="s">
        <v>26</v>
      </c>
      <c r="O41" s="92" t="s">
        <v>26</v>
      </c>
      <c r="P41" s="92">
        <v>2426935470</v>
      </c>
      <c r="Q41" s="126">
        <f>=P41/3600</f>
        <v>674148.741666667</v>
      </c>
      <c r="R41" s="92">
        <v>590174</v>
      </c>
      <c r="S41" s="92" t="s">
        <v>193</v>
      </c>
      <c r="U41" s="50" t="s">
        <v>194</v>
      </c>
      <c r="V41" s="157" t="s">
        <v>195</v>
      </c>
      <c r="W41" s="46" t="s">
        <v>26</v>
      </c>
      <c r="AF41" s="95" t="s"/>
    </row>
    <row r="42" spans="1:32" customHeight="true">
      <c r="A42" s="166" t="s"/>
      <c r="B42" s="163" t="s">
        <v>20</v>
      </c>
      <c r="C42" s="49" t="s">
        <v>107</v>
      </c>
      <c r="E42" s="89" t="s">
        <v>196</v>
      </c>
      <c r="F42" s="92" t="s"/>
      <c r="G42" s="103" t="s"/>
      <c r="H42" s="92" t="s">
        <v>124</v>
      </c>
      <c r="I42" s="92" t="s">
        <v>60</v>
      </c>
      <c r="K42" s="165">
        <v>1</v>
      </c>
      <c r="L42" s="165" t="s"/>
      <c r="M42" s="92" t="s">
        <v>26</v>
      </c>
      <c r="N42" s="92" t="s">
        <v>26</v>
      </c>
      <c r="O42" s="92" t="s">
        <v>26</v>
      </c>
      <c r="P42" s="92">
        <v>136315528</v>
      </c>
      <c r="Q42" s="126" t="s"/>
      <c r="R42" s="92">
        <v>33174</v>
      </c>
      <c r="S42" s="92" t="s">
        <v>197</v>
      </c>
      <c r="U42" s="50" t="s">
        <v>531</v>
      </c>
      <c r="V42" s="157" t="s">
        <v>198</v>
      </c>
      <c r="W42" s="46" t="s">
        <v>26</v>
      </c>
      <c r="AF42" s="95" t="s"/>
    </row>
    <row r="43" spans="1:32" customHeight="true">
      <c r="A43" s="166" t="s"/>
      <c r="B43" s="163" t="s">
        <v>20</v>
      </c>
      <c r="C43" s="147" t="s">
        <v>107</v>
      </c>
      <c r="E43" s="89" t="s">
        <v>199</v>
      </c>
      <c r="F43" s="92" t="s"/>
      <c r="G43" s="103" t="s"/>
      <c r="H43" s="92" t="s">
        <v>124</v>
      </c>
      <c r="I43" s="92" t="s">
        <v>60</v>
      </c>
      <c r="K43" s="165">
        <v>1</v>
      </c>
      <c r="L43" s="165" t="s"/>
      <c r="M43" s="92" t="s">
        <v>26</v>
      </c>
      <c r="N43" s="92" t="s">
        <v>26</v>
      </c>
      <c r="O43" s="92" t="s">
        <v>26</v>
      </c>
      <c r="P43" s="92">
        <v>1675057608</v>
      </c>
      <c r="Q43" s="126" t="s"/>
      <c r="R43" s="92">
        <v>408693</v>
      </c>
      <c r="S43" s="92" t="s">
        <v>200</v>
      </c>
      <c r="U43" s="50" t="s">
        <v>532</v>
      </c>
      <c r="V43" s="157" t="s">
        <v>201</v>
      </c>
      <c r="W43" s="46" t="s">
        <v>26</v>
      </c>
      <c r="AF43" s="95" t="s"/>
    </row>
    <row r="44" spans="1:32" customHeight="true">
      <c r="A44" s="167" t="s"/>
      <c r="B44" s="171" t="s">
        <v>20</v>
      </c>
      <c r="C44" s="172" t="s">
        <v>107</v>
      </c>
      <c r="E44" s="89" t="s">
        <v>533</v>
      </c>
      <c r="F44" s="92" t="s"/>
      <c r="G44" s="103" t="s"/>
      <c r="H44" s="92" t="s">
        <v>124</v>
      </c>
      <c r="I44" s="92" t="s">
        <v>60</v>
      </c>
      <c r="K44" s="165">
        <v>1</v>
      </c>
      <c r="L44" s="165" t="s"/>
      <c r="M44" s="92" t="s">
        <v>26</v>
      </c>
      <c r="N44" s="92" t="s">
        <v>26</v>
      </c>
      <c r="O44" s="92" t="s">
        <v>26</v>
      </c>
      <c r="P44" s="92">
        <v>156739907</v>
      </c>
      <c r="Q44" s="126" t="s"/>
      <c r="R44" s="92">
        <v>38194</v>
      </c>
      <c r="S44" s="92" t="s">
        <v>202</v>
      </c>
      <c r="U44" s="50" t="s">
        <v>534</v>
      </c>
      <c r="V44" s="157" t="s">
        <v>203</v>
      </c>
      <c r="W44" s="46" t="s">
        <v>26</v>
      </c>
      <c r="AF44" s="95" t="s"/>
    </row>
    <row r="45" spans="1:32" customHeight="true">
      <c r="A45" s="173" t="s">
        <v>204</v>
      </c>
      <c r="B45" s="174" t="s">
        <v>65</v>
      </c>
      <c r="C45" s="175" t="s">
        <v>205</v>
      </c>
      <c r="D45" s="92" t="s">
        <v>535</v>
      </c>
      <c r="E45" s="156" t="s">
        <v>26</v>
      </c>
      <c r="F45" s="92" t="s"/>
      <c r="G45" s="103" t="s"/>
      <c r="H45" s="92" t="s">
        <v>124</v>
      </c>
      <c r="I45" s="92" t="s">
        <v>125</v>
      </c>
      <c r="J45" s="104" t="s">
        <v>536</v>
      </c>
      <c r="K45" s="92">
        <v>1500</v>
      </c>
      <c r="L45" s="104" t="s"/>
      <c r="M45" s="92" t="s">
        <v>26</v>
      </c>
      <c r="N45" s="92" t="s">
        <v>26</v>
      </c>
      <c r="O45" s="92" t="s">
        <v>26</v>
      </c>
      <c r="P45" s="92">
        <v>235409</v>
      </c>
      <c r="Q45" s="126">
        <f>=P45/3600</f>
        <v>65.3913888888889</v>
      </c>
      <c r="R45" s="92">
        <v>60</v>
      </c>
      <c r="S45" s="92" t="s">
        <v>206</v>
      </c>
      <c r="T45" s="176" t="s">
        <v>537</v>
      </c>
      <c r="U45" s="50" t="s">
        <v>207</v>
      </c>
      <c r="V45" s="177" t="s">
        <v>208</v>
      </c>
      <c r="W45" s="46" t="s">
        <v>26</v>
      </c>
      <c r="X45" s="52" t="s">
        <v>209</v>
      </c>
      <c r="AF45" s="95" t="s"/>
    </row>
    <row r="46" spans="1:32" customHeight="true">
      <c r="A46" s="85" t="s">
        <v>210</v>
      </c>
      <c r="B46" s="178" t="s">
        <v>20</v>
      </c>
      <c r="C46" s="147" t="s">
        <v>41</v>
      </c>
      <c r="D46" s="164" t="s">
        <v>211</v>
      </c>
      <c r="E46" s="156" t="s">
        <v>26</v>
      </c>
      <c r="F46" s="92" t="s">
        <v>212</v>
      </c>
      <c r="G46" s="103" t="s">
        <v>23</v>
      </c>
      <c r="H46" s="92" t="s">
        <v>124</v>
      </c>
      <c r="I46" s="92" t="s">
        <v>125</v>
      </c>
      <c r="J46" s="92" t="s">
        <v>213</v>
      </c>
      <c r="K46" s="92">
        <v>1</v>
      </c>
      <c r="L46" s="92" t="s"/>
      <c r="M46" s="92" t="s">
        <v>26</v>
      </c>
      <c r="N46" s="92" t="s">
        <v>26</v>
      </c>
      <c r="O46" s="92" t="s">
        <v>26</v>
      </c>
      <c r="P46" s="92">
        <v>37662952</v>
      </c>
      <c r="Q46" s="126">
        <f>=P46/3600</f>
        <v>10461.9311111111</v>
      </c>
      <c r="R46" s="92">
        <v>9169</v>
      </c>
      <c r="S46" s="92" t="s">
        <v>214</v>
      </c>
      <c r="U46" s="44" t="s">
        <v>215</v>
      </c>
      <c r="V46" s="177" t="s">
        <v>216</v>
      </c>
      <c r="W46" s="179" t="s">
        <v>26</v>
      </c>
      <c r="X46" s="52" t="s">
        <v>217</v>
      </c>
      <c r="AF46" s="95" t="s"/>
    </row>
    <row r="47" spans="1:32" customHeight="true">
      <c r="A47" s="180" t="s">
        <v>218</v>
      </c>
      <c r="B47" s="154" t="s">
        <v>20</v>
      </c>
      <c r="C47" s="147" t="s">
        <v>58</v>
      </c>
      <c r="D47" s="181" t="s">
        <v>538</v>
      </c>
      <c r="E47" s="182" t="s">
        <v>219</v>
      </c>
      <c r="F47" s="59" t="s">
        <v>220</v>
      </c>
      <c r="G47" s="61" t="s">
        <v>23</v>
      </c>
      <c r="H47" s="42" t="s">
        <v>124</v>
      </c>
      <c r="I47" s="42" t="s">
        <v>125</v>
      </c>
      <c r="J47" s="59" t="s">
        <v>221</v>
      </c>
      <c r="K47" s="42">
        <v>1</v>
      </c>
      <c r="L47" s="132" t="s"/>
      <c r="M47" s="42" t="s">
        <v>26</v>
      </c>
      <c r="N47" s="42" t="s">
        <v>26</v>
      </c>
      <c r="O47" s="42" t="s">
        <v>26</v>
      </c>
      <c r="P47" s="42">
        <v>165305676</v>
      </c>
      <c r="Q47" s="83">
        <f>=P47/3600</f>
        <v>45918.2433333333</v>
      </c>
      <c r="R47" s="42">
        <v>40232</v>
      </c>
      <c r="S47" s="42" t="s">
        <v>222</v>
      </c>
      <c r="U47" s="50" t="s">
        <v>223</v>
      </c>
      <c r="V47" s="177" t="s">
        <v>224</v>
      </c>
      <c r="W47" s="46" t="s">
        <v>26</v>
      </c>
      <c r="AF47" s="47" t="s"/>
    </row>
    <row r="48" spans="1:32" customHeight="true">
      <c r="A48" s="166" t="s"/>
      <c r="B48" s="159" t="s">
        <v>20</v>
      </c>
      <c r="C48" s="147" t="s">
        <v>58</v>
      </c>
      <c r="D48" s="170" t="s"/>
      <c r="E48" s="80" t="s"/>
      <c r="F48" s="183" t="s">
        <v>220</v>
      </c>
      <c r="G48" s="184" t="s">
        <v>23</v>
      </c>
      <c r="H48" s="42" t="s">
        <v>124</v>
      </c>
      <c r="I48" s="42" t="s">
        <v>125</v>
      </c>
      <c r="J48" s="170" t="s"/>
      <c r="K48" s="42">
        <v>1</v>
      </c>
      <c r="L48" s="90" t="s"/>
      <c r="M48" s="42" t="s"/>
      <c r="N48" s="42" t="s"/>
      <c r="O48" s="42" t="s"/>
      <c r="P48" s="42" t="s"/>
      <c r="Q48" s="83" t="s"/>
      <c r="R48" s="42" t="s"/>
      <c r="S48" s="42" t="s">
        <v>26</v>
      </c>
      <c r="V48" s="177" t="s">
        <v>225</v>
      </c>
      <c r="W48" s="46" t="s">
        <v>26</v>
      </c>
      <c r="AF48" s="47" t="s"/>
    </row>
    <row r="49" spans="1:32" customHeight="true">
      <c r="A49" s="166" t="s"/>
      <c r="B49" s="159" t="s">
        <v>20</v>
      </c>
      <c r="C49" s="131" t="s">
        <v>58</v>
      </c>
      <c r="D49" s="170" t="s"/>
      <c r="E49" s="182" t="s">
        <v>226</v>
      </c>
      <c r="F49" s="59" t="s">
        <v>220</v>
      </c>
      <c r="G49" s="61" t="s">
        <v>23</v>
      </c>
      <c r="H49" s="42" t="s">
        <v>124</v>
      </c>
      <c r="I49" s="42" t="s">
        <v>125</v>
      </c>
      <c r="J49" s="170" t="s"/>
      <c r="K49" s="42">
        <v>1</v>
      </c>
      <c r="L49" s="90" t="s"/>
      <c r="M49" s="42" t="s">
        <v>26</v>
      </c>
      <c r="N49" s="42" t="s">
        <v>26</v>
      </c>
      <c r="O49" s="42" t="s">
        <v>26</v>
      </c>
      <c r="P49" s="42">
        <v>300904427</v>
      </c>
      <c r="Q49" s="83">
        <f>=P49/3600</f>
        <v>83584.5630555556</v>
      </c>
      <c r="R49" s="42">
        <v>73148</v>
      </c>
      <c r="S49" s="42" t="s">
        <v>227</v>
      </c>
      <c r="U49" s="50" t="s">
        <v>228</v>
      </c>
      <c r="V49" s="177" t="s">
        <v>229</v>
      </c>
      <c r="W49" s="46" t="s">
        <v>26</v>
      </c>
      <c r="AF49" s="47" t="s"/>
    </row>
    <row r="50" spans="1:32" customHeight="true">
      <c r="A50" s="166" t="s"/>
      <c r="B50" s="159" t="s">
        <v>20</v>
      </c>
      <c r="C50" s="131" t="s">
        <v>58</v>
      </c>
      <c r="D50" s="170" t="s"/>
      <c r="E50" s="110" t="s"/>
      <c r="F50" s="185" t="s">
        <v>220</v>
      </c>
      <c r="G50" s="186" t="s">
        <v>23</v>
      </c>
      <c r="H50" s="42" t="s">
        <v>124</v>
      </c>
      <c r="I50" s="42" t="s">
        <v>125</v>
      </c>
      <c r="J50" s="170" t="s"/>
      <c r="K50" s="42">
        <v>1</v>
      </c>
      <c r="L50" s="90" t="s"/>
      <c r="M50" s="42" t="s"/>
      <c r="N50" s="42" t="s"/>
      <c r="O50" s="42" t="s"/>
      <c r="P50" s="42" t="s"/>
      <c r="Q50" s="83" t="s"/>
      <c r="R50" s="42" t="s"/>
      <c r="S50" s="42" t="s">
        <v>230</v>
      </c>
      <c r="V50" s="177" t="s">
        <v>231</v>
      </c>
      <c r="W50" s="46" t="s">
        <v>26</v>
      </c>
      <c r="AF50" s="47" t="s"/>
    </row>
    <row r="51" spans="1:32" customHeight="true">
      <c r="A51" s="166" t="s"/>
      <c r="B51" s="159" t="s">
        <v>20</v>
      </c>
      <c r="C51" s="131" t="s">
        <v>58</v>
      </c>
      <c r="D51" s="170" t="s"/>
      <c r="E51" s="110" t="s"/>
      <c r="F51" s="185" t="s">
        <v>220</v>
      </c>
      <c r="G51" s="186" t="s">
        <v>23</v>
      </c>
      <c r="H51" s="42" t="s">
        <v>124</v>
      </c>
      <c r="I51" s="42" t="s">
        <v>125</v>
      </c>
      <c r="J51" s="170" t="s"/>
      <c r="K51" s="59">
        <v>1</v>
      </c>
      <c r="L51" s="90" t="s"/>
      <c r="M51" s="42" t="s"/>
      <c r="N51" s="42" t="s"/>
      <c r="O51" s="42" t="s"/>
      <c r="P51" s="42" t="s"/>
      <c r="Q51" s="83" t="s"/>
      <c r="R51" s="42" t="s"/>
      <c r="S51" s="42" t="s">
        <v>232</v>
      </c>
      <c r="V51" s="177" t="s">
        <v>233</v>
      </c>
      <c r="W51" s="46" t="s">
        <v>26</v>
      </c>
      <c r="AF51" s="47" t="s"/>
    </row>
    <row r="52" spans="1:32" customHeight="true">
      <c r="A52" s="166" t="s"/>
      <c r="B52" s="159" t="s">
        <v>20</v>
      </c>
      <c r="C52" s="131" t="s">
        <v>58</v>
      </c>
      <c r="D52" s="170" t="s"/>
      <c r="E52" s="80" t="s"/>
      <c r="F52" s="183" t="s">
        <v>220</v>
      </c>
      <c r="G52" s="184" t="s">
        <v>23</v>
      </c>
      <c r="H52" s="42" t="s">
        <v>124</v>
      </c>
      <c r="I52" s="42" t="s">
        <v>125</v>
      </c>
      <c r="J52" s="170" t="s"/>
      <c r="K52" s="42">
        <v>1</v>
      </c>
      <c r="L52" s="90" t="s"/>
      <c r="M52" s="42" t="s"/>
      <c r="N52" s="42" t="s"/>
      <c r="O52" s="42" t="s"/>
      <c r="P52" s="42" t="s"/>
      <c r="Q52" s="83" t="s"/>
      <c r="R52" s="42" t="s"/>
      <c r="S52" s="42" t="s">
        <v>234</v>
      </c>
      <c r="V52" s="177" t="s">
        <v>235</v>
      </c>
      <c r="W52" s="46" t="s">
        <v>26</v>
      </c>
      <c r="AF52" s="47" t="s"/>
    </row>
    <row r="53" spans="1:32" customHeight="true">
      <c r="A53" s="166" t="s"/>
      <c r="B53" s="159" t="s">
        <v>20</v>
      </c>
      <c r="C53" s="131" t="s">
        <v>58</v>
      </c>
      <c r="D53" s="170" t="s"/>
      <c r="E53" s="41" t="s">
        <v>236</v>
      </c>
      <c r="F53" s="42" t="s">
        <v>220</v>
      </c>
      <c r="G53" s="55" t="s">
        <v>23</v>
      </c>
      <c r="H53" s="42" t="s">
        <v>124</v>
      </c>
      <c r="I53" s="42" t="s">
        <v>125</v>
      </c>
      <c r="J53" s="170" t="s"/>
      <c r="K53" s="42">
        <v>1</v>
      </c>
      <c r="L53" s="90" t="s"/>
      <c r="M53" s="42" t="s">
        <v>26</v>
      </c>
      <c r="N53" s="42" t="s">
        <v>26</v>
      </c>
      <c r="O53" s="42" t="s">
        <v>26</v>
      </c>
      <c r="P53" s="42">
        <v>328272464</v>
      </c>
      <c r="Q53" s="83">
        <f>=P53/3600</f>
        <v>91186.7955555556</v>
      </c>
      <c r="R53" s="42">
        <v>79869</v>
      </c>
      <c r="S53" s="42" t="s">
        <v>237</v>
      </c>
      <c r="U53" s="50" t="s">
        <v>238</v>
      </c>
      <c r="V53" s="177" t="s">
        <v>239</v>
      </c>
      <c r="W53" s="46" t="s">
        <v>26</v>
      </c>
      <c r="AF53" s="47" t="s"/>
    </row>
    <row r="54" spans="1:32" customHeight="true">
      <c r="A54" s="166" t="s"/>
      <c r="B54" s="159" t="s">
        <v>20</v>
      </c>
      <c r="C54" s="131" t="s">
        <v>58</v>
      </c>
      <c r="D54" s="170" t="s"/>
      <c r="E54" s="182" t="s">
        <v>240</v>
      </c>
      <c r="F54" s="59" t="s">
        <v>220</v>
      </c>
      <c r="G54" s="61" t="s">
        <v>23</v>
      </c>
      <c r="H54" s="42" t="s">
        <v>124</v>
      </c>
      <c r="I54" s="42" t="s">
        <v>125</v>
      </c>
      <c r="J54" s="170" t="s"/>
      <c r="K54" s="42">
        <v>1</v>
      </c>
      <c r="L54" s="90" t="s"/>
      <c r="M54" s="42" t="s">
        <v>26</v>
      </c>
      <c r="N54" s="42" t="s">
        <v>26</v>
      </c>
      <c r="O54" s="42" t="s">
        <v>26</v>
      </c>
      <c r="P54" s="42">
        <v>481096743</v>
      </c>
      <c r="Q54" s="187">
        <f>=P54/3600</f>
        <v>133637.984166667</v>
      </c>
      <c r="R54" s="42">
        <v>117189</v>
      </c>
      <c r="S54" s="42" t="s">
        <v>26</v>
      </c>
      <c r="U54" s="50" t="s">
        <v>241</v>
      </c>
      <c r="V54" s="177" t="s">
        <v>242</v>
      </c>
      <c r="W54" s="46" t="s">
        <v>26</v>
      </c>
      <c r="AF54" s="47" t="s"/>
    </row>
    <row r="55" spans="1:32" customHeight="true">
      <c r="A55" s="166" t="s"/>
      <c r="B55" s="159" t="s">
        <v>20</v>
      </c>
      <c r="C55" s="131" t="s">
        <v>58</v>
      </c>
      <c r="D55" s="170" t="s"/>
      <c r="E55" s="80" t="s"/>
      <c r="F55" s="183" t="s">
        <v>220</v>
      </c>
      <c r="G55" s="184" t="s">
        <v>23</v>
      </c>
      <c r="H55" s="42" t="s">
        <v>124</v>
      </c>
      <c r="I55" s="42" t="s">
        <v>125</v>
      </c>
      <c r="J55" s="170" t="s"/>
      <c r="K55" s="42">
        <v>1</v>
      </c>
      <c r="L55" s="90" t="s"/>
      <c r="M55" s="42" t="s"/>
      <c r="N55" s="42" t="s"/>
      <c r="O55" s="42" t="s"/>
      <c r="P55" s="42" t="s"/>
      <c r="Q55" s="187" t="s"/>
      <c r="R55" s="42" t="s"/>
      <c r="S55" s="42" t="s">
        <v>26</v>
      </c>
      <c r="V55" s="177" t="s">
        <v>243</v>
      </c>
      <c r="W55" s="46" t="s">
        <v>26</v>
      </c>
      <c r="AF55" s="47" t="s"/>
    </row>
    <row r="56" spans="1:32" customHeight="true">
      <c r="A56" s="166" t="s"/>
      <c r="B56" s="159" t="s">
        <v>20</v>
      </c>
      <c r="C56" s="131" t="s">
        <v>58</v>
      </c>
      <c r="D56" s="170" t="s"/>
      <c r="E56" s="41" t="s">
        <v>244</v>
      </c>
      <c r="F56" s="42" t="s">
        <v>220</v>
      </c>
      <c r="G56" s="55" t="s">
        <v>23</v>
      </c>
      <c r="H56" s="42" t="s">
        <v>124</v>
      </c>
      <c r="I56" s="42" t="s">
        <v>125</v>
      </c>
      <c r="J56" s="170" t="s"/>
      <c r="K56" s="59">
        <v>1</v>
      </c>
      <c r="L56" s="90" t="s"/>
      <c r="M56" s="42" t="s">
        <v>26</v>
      </c>
      <c r="N56" s="42" t="s">
        <v>26</v>
      </c>
      <c r="O56" s="42" t="s">
        <v>26</v>
      </c>
      <c r="P56" s="42">
        <v>298506999</v>
      </c>
      <c r="Q56" s="83">
        <f>=P56/3600</f>
        <v>82918.6108333334</v>
      </c>
      <c r="R56" s="42">
        <v>72527</v>
      </c>
      <c r="S56" s="42" t="s">
        <v>245</v>
      </c>
      <c r="U56" s="50" t="s">
        <v>246</v>
      </c>
      <c r="V56" s="177" t="s">
        <v>233</v>
      </c>
      <c r="W56" s="46" t="s">
        <v>26</v>
      </c>
      <c r="AF56" s="47" t="s"/>
    </row>
    <row r="57" spans="1:32" customHeight="true">
      <c r="A57" s="166" t="s"/>
      <c r="B57" s="159" t="s">
        <v>20</v>
      </c>
      <c r="C57" s="131" t="s">
        <v>58</v>
      </c>
      <c r="D57" s="170" t="s"/>
      <c r="E57" s="182" t="s">
        <v>247</v>
      </c>
      <c r="F57" s="59" t="s">
        <v>220</v>
      </c>
      <c r="G57" s="61" t="s">
        <v>23</v>
      </c>
      <c r="H57" s="42" t="s">
        <v>124</v>
      </c>
      <c r="I57" s="42" t="s">
        <v>125</v>
      </c>
      <c r="J57" s="170" t="s"/>
      <c r="K57" s="42">
        <v>1</v>
      </c>
      <c r="L57" s="90" t="s"/>
      <c r="M57" s="42" t="s">
        <v>26</v>
      </c>
      <c r="N57" s="42" t="s">
        <v>26</v>
      </c>
      <c r="O57" s="42" t="s">
        <v>26</v>
      </c>
      <c r="P57" s="42">
        <v>159671126</v>
      </c>
      <c r="Q57" s="83">
        <f>=P57/3600</f>
        <v>44353.0905555556</v>
      </c>
      <c r="R57" s="42">
        <v>38680</v>
      </c>
      <c r="S57" s="42" t="s">
        <v>148</v>
      </c>
      <c r="U57" s="50" t="s">
        <v>248</v>
      </c>
      <c r="V57" s="177" t="s">
        <v>249</v>
      </c>
      <c r="W57" s="46" t="s">
        <v>26</v>
      </c>
      <c r="AF57" s="47" t="s"/>
    </row>
    <row r="58" spans="1:32" customHeight="true">
      <c r="A58" s="167" t="s"/>
      <c r="B58" s="159" t="s">
        <v>20</v>
      </c>
      <c r="C58" s="131" t="s">
        <v>58</v>
      </c>
      <c r="E58" s="80" t="s"/>
      <c r="F58" s="183" t="s">
        <v>220</v>
      </c>
      <c r="G58" s="184" t="s">
        <v>23</v>
      </c>
      <c r="H58" s="42" t="s">
        <v>124</v>
      </c>
      <c r="I58" s="42" t="s">
        <v>125</v>
      </c>
      <c r="K58" s="42">
        <v>1</v>
      </c>
      <c r="L58" s="90" t="s"/>
      <c r="M58" s="42" t="s"/>
      <c r="Q58" s="83" t="s"/>
      <c r="R58" s="42" t="s"/>
      <c r="S58" s="42" t="s">
        <v>250</v>
      </c>
      <c r="V58" s="177" t="s">
        <v>251</v>
      </c>
      <c r="W58" s="46" t="s">
        <v>26</v>
      </c>
      <c r="AF58" s="47" t="s"/>
    </row>
    <row r="59" spans="1:32" customHeight="true">
      <c r="A59" s="180" t="s">
        <v>252</v>
      </c>
      <c r="B59" s="188" t="s">
        <v>20</v>
      </c>
      <c r="C59" s="147" t="s">
        <v>58</v>
      </c>
      <c r="D59" s="189" t="s">
        <v>539</v>
      </c>
      <c r="E59" s="41" t="s">
        <v>253</v>
      </c>
      <c r="F59" s="42" t="s">
        <v>254</v>
      </c>
      <c r="G59" s="55" t="s">
        <v>23</v>
      </c>
      <c r="H59" s="42" t="s">
        <v>124</v>
      </c>
      <c r="I59" s="42" t="s">
        <v>125</v>
      </c>
      <c r="J59" s="190" t="s">
        <v>255</v>
      </c>
      <c r="K59" s="42">
        <v>1</v>
      </c>
      <c r="L59" s="191" t="s"/>
      <c r="M59" s="42" t="s">
        <v>26</v>
      </c>
      <c r="P59" s="132">
        <v>206765545</v>
      </c>
      <c r="Q59" s="83">
        <f>=P59/3600</f>
        <v>57434.8736111111</v>
      </c>
      <c r="R59" s="42">
        <v>61338</v>
      </c>
      <c r="S59" s="42" t="s">
        <v>256</v>
      </c>
      <c r="U59" s="44" t="s">
        <v>257</v>
      </c>
      <c r="V59" s="177" t="s">
        <v>258</v>
      </c>
      <c r="W59" s="192" t="s">
        <v>26</v>
      </c>
      <c r="X59" s="52" t="s">
        <v>259</v>
      </c>
      <c r="AF59" s="47" t="s"/>
    </row>
    <row r="60" spans="1:32" customHeight="true">
      <c r="A60" s="108" t="s"/>
      <c r="B60" s="188" t="s">
        <v>20</v>
      </c>
      <c r="C60" s="147" t="s">
        <v>58</v>
      </c>
      <c r="D60" s="110" t="s"/>
      <c r="E60" s="41" t="s">
        <v>260</v>
      </c>
      <c r="F60" s="42" t="s">
        <v>254</v>
      </c>
      <c r="G60" s="55" t="s">
        <v>23</v>
      </c>
      <c r="H60" s="42" t="s">
        <v>124</v>
      </c>
      <c r="I60" s="42" t="s">
        <v>125</v>
      </c>
      <c r="J60" s="110" t="s"/>
      <c r="K60" s="42">
        <v>1</v>
      </c>
      <c r="L60" s="193" t="s"/>
      <c r="M60" s="99" t="s">
        <v>26</v>
      </c>
      <c r="Q60" s="83" t="s">
        <v>26</v>
      </c>
      <c r="R60" s="42" t="s">
        <v>26</v>
      </c>
      <c r="S60" s="42" t="s">
        <v>261</v>
      </c>
      <c r="V60" s="177" t="s">
        <v>262</v>
      </c>
      <c r="W60" s="46" t="s">
        <v>26</v>
      </c>
      <c r="X60" s="52" t="s"/>
      <c r="AF60" s="47" t="s"/>
    </row>
    <row r="61" spans="1:32" customHeight="true">
      <c r="A61" s="108" t="s"/>
      <c r="B61" s="188" t="s">
        <v>20</v>
      </c>
      <c r="C61" s="147" t="s">
        <v>58</v>
      </c>
      <c r="D61" s="110" t="s"/>
      <c r="E61" s="41" t="s">
        <v>263</v>
      </c>
      <c r="F61" s="42" t="s">
        <v>254</v>
      </c>
      <c r="G61" s="55" t="s">
        <v>23</v>
      </c>
      <c r="H61" s="42" t="s">
        <v>124</v>
      </c>
      <c r="I61" s="42" t="s">
        <v>125</v>
      </c>
      <c r="J61" s="110" t="s"/>
      <c r="K61" s="59">
        <v>1</v>
      </c>
      <c r="L61" s="193" t="s"/>
      <c r="M61" s="99" t="s">
        <v>26</v>
      </c>
      <c r="N61" s="99" t="s">
        <v>26</v>
      </c>
      <c r="O61" s="99" t="s">
        <v>26</v>
      </c>
      <c r="P61" s="42">
        <v>509969502</v>
      </c>
      <c r="Q61" s="83" t="s"/>
      <c r="R61" s="42">
        <v>124186</v>
      </c>
      <c r="S61" s="42" t="s">
        <v>261</v>
      </c>
      <c r="V61" s="177" t="s">
        <v>264</v>
      </c>
      <c r="W61" s="46" t="s">
        <v>26</v>
      </c>
      <c r="X61" s="52" t="s"/>
      <c r="AF61" s="47" t="s"/>
    </row>
    <row r="62" spans="1:32" customHeight="true">
      <c r="A62" s="108" t="s"/>
      <c r="B62" s="188" t="s">
        <v>20</v>
      </c>
      <c r="C62" s="147" t="s">
        <v>58</v>
      </c>
      <c r="D62" s="110" t="s"/>
      <c r="E62" s="41" t="s">
        <v>265</v>
      </c>
      <c r="F62" s="42" t="s">
        <v>254</v>
      </c>
      <c r="G62" s="55" t="s">
        <v>23</v>
      </c>
      <c r="H62" s="42" t="s">
        <v>124</v>
      </c>
      <c r="I62" s="42" t="s">
        <v>125</v>
      </c>
      <c r="J62" s="110" t="s"/>
      <c r="K62" s="42">
        <v>1</v>
      </c>
      <c r="L62" s="193" t="s"/>
      <c r="M62" s="99" t="s">
        <v>26</v>
      </c>
      <c r="N62" s="99" t="s">
        <v>26</v>
      </c>
      <c r="O62" s="99" t="s">
        <v>26</v>
      </c>
      <c r="P62" s="42" t="s">
        <v>26</v>
      </c>
      <c r="Q62" s="83" t="s">
        <v>26</v>
      </c>
      <c r="R62" s="42" t="s">
        <v>26</v>
      </c>
      <c r="S62" s="42" t="s">
        <v>26</v>
      </c>
      <c r="V62" s="177" t="s">
        <v>266</v>
      </c>
      <c r="W62" s="46" t="s">
        <v>26</v>
      </c>
      <c r="X62" s="52" t="s"/>
      <c r="AF62" s="47" t="s"/>
    </row>
    <row r="63" spans="1:32" customHeight="true">
      <c r="A63" s="108" t="s"/>
      <c r="B63" s="188" t="s">
        <v>20</v>
      </c>
      <c r="C63" s="147" t="s">
        <v>58</v>
      </c>
      <c r="D63" s="110" t="s"/>
      <c r="E63" s="41" t="s">
        <v>267</v>
      </c>
      <c r="F63" s="42" t="s">
        <v>254</v>
      </c>
      <c r="G63" s="55" t="s">
        <v>23</v>
      </c>
      <c r="H63" s="42" t="s">
        <v>124</v>
      </c>
      <c r="I63" s="42" t="s">
        <v>125</v>
      </c>
      <c r="J63" s="110" t="s"/>
      <c r="K63" s="42">
        <v>1</v>
      </c>
      <c r="L63" s="193" t="s"/>
      <c r="M63" s="99" t="s">
        <v>26</v>
      </c>
      <c r="N63" s="99" t="s">
        <v>26</v>
      </c>
      <c r="O63" s="99" t="s">
        <v>26</v>
      </c>
      <c r="P63" s="42">
        <v>59697052</v>
      </c>
      <c r="Q63" s="83" t="s"/>
      <c r="R63" s="42">
        <v>14526</v>
      </c>
      <c r="S63" s="42" t="s">
        <v>268</v>
      </c>
      <c r="V63" s="177" t="s">
        <v>269</v>
      </c>
      <c r="W63" s="46" t="s">
        <v>26</v>
      </c>
      <c r="X63" s="52" t="s"/>
      <c r="AF63" s="47" t="s"/>
    </row>
    <row r="64" spans="1:32" customHeight="true">
      <c r="A64" s="78" t="s"/>
      <c r="B64" s="188" t="s">
        <v>20</v>
      </c>
      <c r="C64" s="147" t="s">
        <v>58</v>
      </c>
      <c r="D64" s="80" t="s"/>
      <c r="E64" s="41" t="s">
        <v>270</v>
      </c>
      <c r="F64" s="42" t="s">
        <v>254</v>
      </c>
      <c r="G64" s="55" t="s">
        <v>23</v>
      </c>
      <c r="H64" s="42" t="s">
        <v>124</v>
      </c>
      <c r="I64" s="42" t="s">
        <v>125</v>
      </c>
      <c r="J64" s="80" t="s"/>
      <c r="K64" s="59">
        <v>1</v>
      </c>
      <c r="L64" s="193" t="s"/>
      <c r="M64" s="190" t="s">
        <v>26</v>
      </c>
      <c r="N64" s="190" t="s">
        <v>26</v>
      </c>
      <c r="O64" s="190" t="s">
        <v>26</v>
      </c>
      <c r="P64" s="42" t="s">
        <v>26</v>
      </c>
      <c r="Q64" s="83" t="s">
        <v>26</v>
      </c>
      <c r="R64" s="42" t="s">
        <v>26</v>
      </c>
      <c r="S64" s="42" t="s">
        <v>26</v>
      </c>
      <c r="V64" s="177" t="s">
        <v>271</v>
      </c>
      <c r="W64" s="64" t="s">
        <v>26</v>
      </c>
      <c r="X64" s="52" t="s"/>
      <c r="AF64" s="47" t="s"/>
    </row>
    <row r="65" spans="1:32" customHeight="true">
      <c r="A65" s="53" t="s">
        <v>272</v>
      </c>
      <c r="B65" s="54" t="s">
        <v>20</v>
      </c>
      <c r="C65" s="147" t="s">
        <v>58</v>
      </c>
      <c r="D65" s="41" t="s">
        <v>540</v>
      </c>
      <c r="E65" s="41" t="s">
        <v>273</v>
      </c>
      <c r="F65" s="42" t="s">
        <v>274</v>
      </c>
      <c r="G65" s="55" t="s">
        <v>23</v>
      </c>
      <c r="H65" s="42" t="s">
        <v>124</v>
      </c>
      <c r="I65" s="42" t="s">
        <v>125</v>
      </c>
      <c r="J65" s="99" t="s">
        <v>275</v>
      </c>
      <c r="K65" s="42">
        <v>1</v>
      </c>
      <c r="L65" s="42" t="s"/>
      <c r="M65" s="42" t="s">
        <v>26</v>
      </c>
      <c r="N65" s="42" t="s">
        <v>26</v>
      </c>
      <c r="O65" s="42" t="s">
        <v>26</v>
      </c>
      <c r="P65" s="42">
        <v>285682979</v>
      </c>
      <c r="Q65" s="83">
        <f>=P65/3600</f>
        <v>79356.3830555556</v>
      </c>
      <c r="R65" s="42">
        <v>69606</v>
      </c>
      <c r="S65" s="42" t="s">
        <v>276</v>
      </c>
      <c r="U65" s="50" t="s">
        <v>277</v>
      </c>
      <c r="V65" s="177" t="s">
        <v>278</v>
      </c>
      <c r="W65" s="46" t="s">
        <v>26</v>
      </c>
      <c r="X65" s="52" t="s">
        <v>279</v>
      </c>
      <c r="AF65" s="47" t="s"/>
    </row>
    <row r="66" spans="1:32" customHeight="true">
      <c r="A66" s="194" t="s">
        <v>280</v>
      </c>
      <c r="B66" s="54" t="s">
        <v>20</v>
      </c>
      <c r="C66" s="82" t="s">
        <v>58</v>
      </c>
      <c r="D66" s="42" t="s">
        <v>541</v>
      </c>
      <c r="E66" s="41" t="s">
        <v>273</v>
      </c>
      <c r="F66" s="42" t="s">
        <v>281</v>
      </c>
      <c r="G66" s="55" t="s">
        <v>23</v>
      </c>
      <c r="H66" s="42" t="s">
        <v>124</v>
      </c>
      <c r="I66" s="42" t="s">
        <v>60</v>
      </c>
      <c r="J66" s="99" t="s">
        <v>26</v>
      </c>
      <c r="K66" s="42">
        <v>1</v>
      </c>
      <c r="L66" s="42" t="s"/>
      <c r="M66" s="42" t="s">
        <v>26</v>
      </c>
      <c r="N66" s="42" t="s">
        <v>26</v>
      </c>
      <c r="O66" s="42" t="s">
        <v>26</v>
      </c>
      <c r="P66" s="42">
        <v>4174666032</v>
      </c>
      <c r="Q66" s="187">
        <f>=P66/3600</f>
        <v>1159629.45333333</v>
      </c>
      <c r="R66" s="42">
        <v>1019032</v>
      </c>
      <c r="S66" s="42" t="s">
        <v>282</v>
      </c>
      <c r="U66" s="50" t="s">
        <v>283</v>
      </c>
      <c r="V66" s="177" t="s">
        <v>284</v>
      </c>
      <c r="W66" s="46" t="s">
        <v>26</v>
      </c>
      <c r="X66" s="52" t="s">
        <v>285</v>
      </c>
      <c r="AF66" s="47" t="s"/>
    </row>
    <row r="67" spans="1:32" customHeight="true">
      <c r="A67" s="53" t="s">
        <v>286</v>
      </c>
      <c r="B67" s="188" t="s">
        <v>32</v>
      </c>
      <c r="C67" s="147" t="s">
        <v>58</v>
      </c>
      <c r="D67" s="155" t="s">
        <v>287</v>
      </c>
      <c r="E67" s="41" t="s">
        <v>26</v>
      </c>
      <c r="F67" s="42" t="s"/>
      <c r="G67" s="55" t="s"/>
      <c r="H67" s="42" t="s">
        <v>124</v>
      </c>
      <c r="I67" s="42" t="s">
        <v>80</v>
      </c>
      <c r="J67" s="99" t="s">
        <v>288</v>
      </c>
      <c r="K67" s="42">
        <v>1</v>
      </c>
      <c r="L67" s="42" t="s"/>
      <c r="M67" s="42" t="s">
        <v>26</v>
      </c>
      <c r="N67" s="42" t="s">
        <v>26</v>
      </c>
      <c r="O67" s="42" t="s">
        <v>26</v>
      </c>
      <c r="P67" s="42">
        <v>207579671</v>
      </c>
      <c r="Q67" s="83">
        <f>=P67/3600</f>
        <v>57661.0197222222</v>
      </c>
      <c r="R67" s="42">
        <v>50485</v>
      </c>
      <c r="S67" s="42" t="s">
        <v>166</v>
      </c>
      <c r="U67" s="50" t="s">
        <v>289</v>
      </c>
      <c r="V67" s="177" t="s">
        <v>290</v>
      </c>
      <c r="W67" s="46" t="s">
        <v>26</v>
      </c>
      <c r="X67" s="52" t="s">
        <v>291</v>
      </c>
      <c r="AF67" s="47" t="s"/>
    </row>
    <row r="68" spans="1:32" customHeight="true">
      <c r="A68" s="53" t="s">
        <v>292</v>
      </c>
      <c r="B68" s="188" t="s">
        <v>32</v>
      </c>
      <c r="C68" s="147" t="s">
        <v>58</v>
      </c>
      <c r="D68" s="155" t="s">
        <v>293</v>
      </c>
      <c r="E68" s="41" t="s">
        <v>26</v>
      </c>
      <c r="F68" s="42" t="s"/>
      <c r="G68" s="55" t="s"/>
      <c r="H68" s="42" t="s">
        <v>124</v>
      </c>
      <c r="I68" s="42" t="s">
        <v>80</v>
      </c>
      <c r="J68" s="99" t="s">
        <v>294</v>
      </c>
      <c r="K68" s="42">
        <v>1</v>
      </c>
      <c r="L68" s="42" t="s"/>
      <c r="M68" s="42" t="s">
        <v>26</v>
      </c>
      <c r="N68" s="42" t="s">
        <v>26</v>
      </c>
      <c r="O68" s="42" t="s">
        <v>26</v>
      </c>
      <c r="P68" s="42">
        <v>401873</v>
      </c>
      <c r="Q68" s="83">
        <f>=P68/3600</f>
        <v>111.631388888889</v>
      </c>
      <c r="R68" s="42">
        <v>97</v>
      </c>
      <c r="S68" s="42" t="s">
        <v>68</v>
      </c>
      <c r="U68" s="50" t="s">
        <v>295</v>
      </c>
      <c r="V68" s="177" t="s">
        <v>296</v>
      </c>
      <c r="W68" s="46" t="s">
        <v>26</v>
      </c>
      <c r="X68" s="52" t="s">
        <v>297</v>
      </c>
      <c r="AF68" s="47" t="s"/>
    </row>
    <row r="69" spans="1:32" s="283" customFormat="true" customHeight="true">
      <c r="A69" s="56" t="s">
        <v>298</v>
      </c>
      <c r="B69" s="195" t="s">
        <v>20</v>
      </c>
      <c r="C69" s="58" t="s">
        <v>58</v>
      </c>
      <c r="D69" s="181" t="s">
        <v>299</v>
      </c>
      <c r="E69" s="182" t="s">
        <v>300</v>
      </c>
      <c r="F69" s="59" t="s">
        <v>301</v>
      </c>
      <c r="G69" s="61" t="s">
        <v>23</v>
      </c>
      <c r="H69" s="59" t="s">
        <v>124</v>
      </c>
      <c r="I69" s="59" t="s">
        <v>80</v>
      </c>
      <c r="J69" s="42" t="s">
        <v>26</v>
      </c>
      <c r="K69" s="83" t="s">
        <v>26</v>
      </c>
      <c r="L69" s="42" t="s">
        <v>26</v>
      </c>
      <c r="M69" s="42" t="s">
        <v>26</v>
      </c>
      <c r="N69" s="59" t="s">
        <v>26</v>
      </c>
      <c r="O69" s="59" t="s">
        <v>26</v>
      </c>
      <c r="P69" s="191">
        <v>81530103</v>
      </c>
      <c r="Q69" s="115">
        <f>=P69/3600</f>
        <v>22647.2508333333</v>
      </c>
      <c r="R69" s="191">
        <v>19696</v>
      </c>
      <c r="S69" s="191" t="s">
        <v>302</v>
      </c>
      <c r="T69" s="65" t="s"/>
      <c r="U69" s="196" t="s">
        <v>303</v>
      </c>
      <c r="V69" s="197" t="s">
        <v>304</v>
      </c>
      <c r="W69" s="64" t="s">
        <v>26</v>
      </c>
      <c r="X69" s="162" t="s">
        <v>305</v>
      </c>
      <c r="Y69" s="66" t="s"/>
      <c r="Z69" s="66" t="s"/>
      <c r="AA69" s="66" t="s"/>
      <c r="AB69" s="66" t="s"/>
      <c r="AC69" s="66" t="s"/>
      <c r="AD69" s="66" t="s"/>
      <c r="AE69" s="66" t="s"/>
      <c r="AF69" s="67" t="s"/>
    </row>
    <row r="70" spans="1:32" s="283" customFormat="true" customHeight="true">
      <c r="A70" s="167" t="s"/>
      <c r="B70" s="159" t="s">
        <v>20</v>
      </c>
      <c r="C70" s="127" t="s">
        <v>58</v>
      </c>
      <c r="E70" s="198" t="s">
        <v>306</v>
      </c>
      <c r="F70" s="90" t="s">
        <v>301</v>
      </c>
      <c r="G70" s="91" t="s">
        <v>23</v>
      </c>
      <c r="H70" s="90" t="s">
        <v>124</v>
      </c>
      <c r="I70" s="59" t="s"/>
      <c r="J70" s="42" t="s">
        <v>26</v>
      </c>
      <c r="K70" s="83" t="s">
        <v>26</v>
      </c>
      <c r="L70" s="42" t="s">
        <v>26</v>
      </c>
      <c r="M70" s="42" t="s">
        <v>26</v>
      </c>
      <c r="N70" s="59" t="s"/>
      <c r="O70" s="59" t="s"/>
      <c r="P70" s="42" t="s">
        <v>26</v>
      </c>
      <c r="Q70" s="83" t="s">
        <v>26</v>
      </c>
      <c r="R70" s="42" t="s">
        <v>26</v>
      </c>
      <c r="S70" s="42" t="s">
        <v>26</v>
      </c>
      <c r="T70" s="199" t="s"/>
      <c r="U70" s="200" t="s"/>
      <c r="V70" s="201" t="s">
        <v>307</v>
      </c>
      <c r="W70" s="202" t="s"/>
      <c r="X70" s="162" t="s"/>
      <c r="Y70" s="203" t="s"/>
      <c r="Z70" s="203" t="s"/>
      <c r="AA70" s="203" t="s"/>
      <c r="AB70" s="203" t="s"/>
      <c r="AC70" s="203" t="s"/>
      <c r="AD70" s="203" t="s"/>
      <c r="AE70" s="203" t="s"/>
      <c r="AF70" s="204" t="s"/>
    </row>
    <row r="71" spans="1:32" s="285" customFormat="true" customHeight="true">
      <c r="A71" s="85" t="s">
        <v>308</v>
      </c>
      <c r="B71" s="86" t="s">
        <v>20</v>
      </c>
      <c r="C71" s="87" t="s">
        <v>58</v>
      </c>
      <c r="D71" s="92" t="s">
        <v>309</v>
      </c>
      <c r="E71" s="89" t="s">
        <v>310</v>
      </c>
      <c r="F71" s="92" t="s">
        <v>311</v>
      </c>
      <c r="G71" s="103" t="s">
        <v>312</v>
      </c>
      <c r="H71" s="92" t="s">
        <v>124</v>
      </c>
      <c r="I71" s="42" t="s">
        <v>80</v>
      </c>
      <c r="J71" s="92" t="s">
        <v>26</v>
      </c>
      <c r="K71" s="92" t="s"/>
      <c r="L71" s="92" t="s"/>
      <c r="M71" s="42" t="s">
        <v>26</v>
      </c>
      <c r="N71" s="83" t="s">
        <v>26</v>
      </c>
      <c r="O71" s="42" t="s">
        <v>26</v>
      </c>
      <c r="P71" s="42" t="s">
        <v>26</v>
      </c>
      <c r="Q71" s="83" t="s">
        <v>26</v>
      </c>
      <c r="R71" s="42" t="s">
        <v>26</v>
      </c>
      <c r="S71" s="42" t="s">
        <v>26</v>
      </c>
      <c r="T71" s="52" t="s"/>
      <c r="U71" s="52" t="s">
        <v>542</v>
      </c>
      <c r="V71" s="177" t="s">
        <v>313</v>
      </c>
      <c r="W71" s="46" t="s">
        <v>26</v>
      </c>
      <c r="X71" s="52" t="s"/>
      <c r="Y71" s="205" t="s"/>
      <c r="Z71" s="205" t="s"/>
      <c r="AA71" s="205" t="s"/>
      <c r="AB71" s="205" t="s"/>
      <c r="AC71" s="205" t="s"/>
      <c r="AD71" s="205" t="s"/>
      <c r="AE71" s="205" t="s"/>
      <c r="AF71" s="95" t="s"/>
    </row>
    <row r="72" spans="1:32" s="285" customFormat="true" customHeight="true">
      <c r="A72" s="166" t="s"/>
      <c r="B72" s="103" t="s">
        <v>20</v>
      </c>
      <c r="C72" s="206" t="s">
        <v>58</v>
      </c>
      <c r="E72" s="207" t="s">
        <v>314</v>
      </c>
      <c r="F72" s="165" t="s">
        <v>311</v>
      </c>
      <c r="G72" s="103" t="s">
        <v>312</v>
      </c>
      <c r="H72" s="165" t="s">
        <v>124</v>
      </c>
      <c r="I72" s="42" t="s">
        <v>80</v>
      </c>
      <c r="K72" s="165" t="s"/>
      <c r="L72" s="165" t="s"/>
      <c r="M72" s="165" t="s"/>
      <c r="N72" s="165" t="s"/>
      <c r="O72" s="165" t="s"/>
      <c r="P72" s="165">
        <v>2395562</v>
      </c>
      <c r="Q72" s="207">
        <v>2395562</v>
      </c>
      <c r="R72" s="165">
        <v>577</v>
      </c>
      <c r="S72" s="165" t="s">
        <v>315</v>
      </c>
      <c r="T72" s="208" t="s"/>
      <c r="V72" s="209" t="s">
        <v>316</v>
      </c>
      <c r="W72" s="210" t="s">
        <v>26</v>
      </c>
      <c r="X72" s="208" t="s"/>
      <c r="Y72" s="211" t="s"/>
      <c r="Z72" s="211" t="s"/>
      <c r="AA72" s="211" t="s"/>
      <c r="AB72" s="211" t="s"/>
      <c r="AC72" s="211" t="s"/>
      <c r="AD72" s="211" t="s"/>
      <c r="AE72" s="211" t="s"/>
      <c r="AF72" s="212" t="s"/>
    </row>
    <row r="73" spans="1:32" s="285" customFormat="true" customHeight="true">
      <c r="A73" s="166" t="s"/>
      <c r="B73" s="103" t="s">
        <v>20</v>
      </c>
      <c r="C73" s="206" t="s">
        <v>58</v>
      </c>
      <c r="E73" s="207" t="s">
        <v>317</v>
      </c>
      <c r="F73" s="165" t="s">
        <v>311</v>
      </c>
      <c r="G73" s="103" t="s">
        <v>312</v>
      </c>
      <c r="H73" s="165" t="s">
        <v>124</v>
      </c>
      <c r="I73" s="59" t="s">
        <v>80</v>
      </c>
      <c r="K73" s="165" t="s"/>
      <c r="L73" s="165" t="s"/>
      <c r="M73" s="165" t="s"/>
      <c r="N73" s="165" t="s"/>
      <c r="O73" s="165" t="s"/>
      <c r="P73" s="165">
        <v>45012732</v>
      </c>
      <c r="Q73" s="207" t="s"/>
      <c r="R73" s="165">
        <v>10950</v>
      </c>
      <c r="S73" s="165" t="s">
        <v>318</v>
      </c>
      <c r="T73" s="208" t="s"/>
      <c r="V73" s="209" t="s">
        <v>319</v>
      </c>
      <c r="W73" s="210" t="s">
        <v>26</v>
      </c>
      <c r="X73" s="208" t="s"/>
      <c r="Y73" s="211" t="s"/>
      <c r="Z73" s="211" t="s"/>
      <c r="AA73" s="211" t="s"/>
      <c r="AB73" s="211" t="s"/>
      <c r="AC73" s="211" t="s"/>
      <c r="AD73" s="211" t="s"/>
      <c r="AE73" s="211" t="s"/>
      <c r="AF73" s="212" t="s"/>
    </row>
    <row r="74" spans="1:32" s="285" customFormat="true" customHeight="true">
      <c r="A74" s="166" t="s"/>
      <c r="B74" s="103" t="s">
        <v>20</v>
      </c>
      <c r="C74" s="206" t="s">
        <v>58</v>
      </c>
      <c r="E74" s="207" t="s">
        <v>320</v>
      </c>
      <c r="F74" s="165" t="s">
        <v>311</v>
      </c>
      <c r="G74" s="103" t="s">
        <v>312</v>
      </c>
      <c r="H74" s="165" t="s">
        <v>124</v>
      </c>
      <c r="I74" s="42" t="s">
        <v>80</v>
      </c>
      <c r="K74" s="165" t="s"/>
      <c r="L74" s="165" t="s"/>
      <c r="M74" s="165" t="s"/>
      <c r="N74" s="165" t="s"/>
      <c r="O74" s="165" t="s"/>
      <c r="P74" s="165">
        <v>23738200</v>
      </c>
      <c r="Q74" s="207">
        <v>23738200</v>
      </c>
      <c r="R74" s="165">
        <v>5726</v>
      </c>
      <c r="S74" s="165" t="s">
        <v>321</v>
      </c>
      <c r="T74" s="208" t="s"/>
      <c r="V74" s="209" t="s">
        <v>322</v>
      </c>
      <c r="W74" s="210" t="s">
        <v>26</v>
      </c>
      <c r="X74" s="208" t="s"/>
      <c r="Y74" s="211" t="s"/>
      <c r="Z74" s="211" t="s"/>
      <c r="AA74" s="211" t="s"/>
      <c r="AB74" s="211" t="s"/>
      <c r="AC74" s="211" t="s"/>
      <c r="AD74" s="211" t="s"/>
      <c r="AE74" s="211" t="s"/>
      <c r="AF74" s="212" t="s"/>
    </row>
    <row r="75" spans="1:32" s="285" customFormat="true" customHeight="true">
      <c r="A75" s="166" t="s"/>
      <c r="B75" s="103" t="s">
        <v>20</v>
      </c>
      <c r="C75" s="206" t="s">
        <v>58</v>
      </c>
      <c r="E75" s="207" t="s">
        <v>323</v>
      </c>
      <c r="F75" s="165" t="s">
        <v>311</v>
      </c>
      <c r="G75" s="103" t="s">
        <v>312</v>
      </c>
      <c r="H75" s="165" t="s">
        <v>124</v>
      </c>
      <c r="I75" s="42" t="s">
        <v>80</v>
      </c>
      <c r="K75" s="165" t="s"/>
      <c r="L75" s="165" t="s"/>
      <c r="M75" s="165" t="s"/>
      <c r="N75" s="165" t="s"/>
      <c r="O75" s="165" t="s"/>
      <c r="P75" s="165">
        <v>19114519</v>
      </c>
      <c r="Q75" s="207">
        <v>19114519</v>
      </c>
      <c r="R75" s="165">
        <v>4623</v>
      </c>
      <c r="S75" s="165" t="s">
        <v>324</v>
      </c>
      <c r="T75" s="208" t="s"/>
      <c r="V75" s="209" t="s">
        <v>325</v>
      </c>
      <c r="W75" s="210" t="s">
        <v>26</v>
      </c>
      <c r="X75" s="208" t="s"/>
      <c r="Y75" s="211" t="s"/>
      <c r="Z75" s="211" t="s"/>
      <c r="AA75" s="211" t="s"/>
      <c r="AB75" s="211" t="s"/>
      <c r="AC75" s="211" t="s"/>
      <c r="AD75" s="211" t="s"/>
      <c r="AE75" s="211" t="s"/>
      <c r="AF75" s="212" t="s"/>
    </row>
    <row r="76" spans="1:32" s="285" customFormat="true" customHeight="true">
      <c r="A76" s="166" t="s"/>
      <c r="B76" s="103" t="s">
        <v>20</v>
      </c>
      <c r="C76" s="206" t="s">
        <v>58</v>
      </c>
      <c r="E76" s="207" t="s">
        <v>326</v>
      </c>
      <c r="F76" s="165" t="s">
        <v>311</v>
      </c>
      <c r="G76" s="103" t="s">
        <v>312</v>
      </c>
      <c r="H76" s="165" t="s">
        <v>124</v>
      </c>
      <c r="I76" s="59" t="s">
        <v>80</v>
      </c>
      <c r="K76" s="165" t="s"/>
      <c r="L76" s="165" t="s"/>
      <c r="M76" s="165" t="s"/>
      <c r="N76" s="165" t="s"/>
      <c r="O76" s="165" t="s"/>
      <c r="P76" s="165">
        <v>67649715</v>
      </c>
      <c r="Q76" s="207" t="s"/>
      <c r="R76" s="165">
        <v>16433</v>
      </c>
      <c r="S76" s="165" t="s">
        <v>327</v>
      </c>
      <c r="T76" s="208" t="s"/>
      <c r="V76" s="209" t="s">
        <v>328</v>
      </c>
      <c r="W76" s="210" t="s">
        <v>26</v>
      </c>
      <c r="X76" s="208" t="s"/>
      <c r="Y76" s="211" t="s"/>
      <c r="Z76" s="211" t="s"/>
      <c r="AA76" s="211" t="s"/>
      <c r="AB76" s="211" t="s"/>
      <c r="AC76" s="211" t="s"/>
      <c r="AD76" s="211" t="s"/>
      <c r="AE76" s="211" t="s"/>
      <c r="AF76" s="212" t="s"/>
    </row>
    <row r="77" spans="1:32" s="285" customFormat="true" customHeight="true">
      <c r="A77" s="167" t="s"/>
      <c r="B77" s="103" t="s">
        <v>20</v>
      </c>
      <c r="C77" s="206" t="s">
        <v>58</v>
      </c>
      <c r="E77" s="207" t="s">
        <v>329</v>
      </c>
      <c r="F77" s="165" t="s">
        <v>311</v>
      </c>
      <c r="G77" s="103" t="s">
        <v>312</v>
      </c>
      <c r="H77" s="165" t="s">
        <v>124</v>
      </c>
      <c r="I77" s="59" t="s">
        <v>80</v>
      </c>
      <c r="K77" s="165" t="s"/>
      <c r="L77" s="165" t="s"/>
      <c r="M77" s="165" t="s"/>
      <c r="N77" s="165" t="s"/>
      <c r="O77" s="165" t="s"/>
      <c r="P77" s="165">
        <v>200246025</v>
      </c>
      <c r="Q77" s="207" t="s"/>
      <c r="R77" s="165">
        <v>48766</v>
      </c>
      <c r="S77" s="165" t="s">
        <v>330</v>
      </c>
      <c r="T77" s="208" t="s"/>
      <c r="V77" s="209" t="s">
        <v>331</v>
      </c>
      <c r="W77" s="210" t="s">
        <v>26</v>
      </c>
      <c r="X77" s="208" t="s"/>
      <c r="Y77" s="211" t="s"/>
      <c r="Z77" s="211" t="s"/>
      <c r="AA77" s="211" t="s"/>
      <c r="AB77" s="211" t="s"/>
      <c r="AC77" s="211" t="s"/>
      <c r="AD77" s="211" t="s"/>
      <c r="AE77" s="211" t="s"/>
      <c r="AF77" s="212" t="s"/>
    </row>
    <row r="78" spans="1:32" s="285" customFormat="true" customHeight="true">
      <c r="A78" s="202" t="s">
        <v>332</v>
      </c>
      <c r="B78" s="103" t="s">
        <v>32</v>
      </c>
      <c r="C78" s="206" t="s">
        <v>205</v>
      </c>
      <c r="D78" s="165" t="s">
        <v>333</v>
      </c>
      <c r="E78" s="213" t="s">
        <v>334</v>
      </c>
      <c r="F78" s="165" t="s"/>
      <c r="G78" s="103" t="s"/>
      <c r="H78" s="165" t="s">
        <v>124</v>
      </c>
      <c r="I78" s="59" t="s">
        <v>80</v>
      </c>
      <c r="J78" s="193" t="s">
        <v>26</v>
      </c>
      <c r="K78" s="165" t="s"/>
      <c r="L78" s="165" t="s"/>
      <c r="M78" s="165" t="s"/>
      <c r="N78" s="165" t="s"/>
      <c r="O78" s="165" t="s"/>
      <c r="P78" s="165">
        <v>31744441</v>
      </c>
      <c r="Q78" s="207" t="s"/>
      <c r="R78" s="165">
        <v>7691</v>
      </c>
      <c r="S78" s="165" t="s">
        <v>335</v>
      </c>
      <c r="T78" s="208" t="s"/>
      <c r="U78" s="208" t="s">
        <v>543</v>
      </c>
      <c r="V78" s="209" t="s">
        <v>336</v>
      </c>
      <c r="W78" s="210" t="s">
        <v>26</v>
      </c>
      <c r="X78" s="208" t="s"/>
      <c r="Y78" s="211" t="s"/>
      <c r="Z78" s="211" t="s"/>
      <c r="AA78" s="211" t="s"/>
      <c r="AB78" s="211" t="s"/>
      <c r="AC78" s="211" t="s"/>
      <c r="AD78" s="211" t="s"/>
      <c r="AE78" s="211" t="s"/>
      <c r="AF78" s="212" t="s"/>
    </row>
    <row r="79" spans="1:32" s="285" customFormat="true" customHeight="true">
      <c r="A79" s="200" t="s"/>
      <c r="B79" s="103" t="s">
        <v>32</v>
      </c>
      <c r="C79" s="206" t="s">
        <v>205</v>
      </c>
      <c r="D79" s="165" t="s"/>
      <c r="E79" s="213" t="s">
        <v>306</v>
      </c>
      <c r="F79" s="165" t="s"/>
      <c r="G79" s="103" t="s"/>
      <c r="H79" s="165" t="s">
        <v>124</v>
      </c>
      <c r="I79" s="214" t="s"/>
      <c r="J79" s="193" t="s">
        <v>26</v>
      </c>
      <c r="K79" s="165" t="s"/>
      <c r="L79" s="165" t="s"/>
      <c r="M79" s="165" t="s"/>
      <c r="N79" s="165" t="s"/>
      <c r="O79" s="165" t="s"/>
      <c r="P79" s="42" t="s">
        <v>26</v>
      </c>
      <c r="Q79" s="83" t="s">
        <v>26</v>
      </c>
      <c r="R79" s="42" t="s">
        <v>26</v>
      </c>
      <c r="S79" s="42" t="s">
        <v>26</v>
      </c>
      <c r="T79" s="208" t="s"/>
      <c r="V79" s="215" t="s">
        <v>337</v>
      </c>
      <c r="W79" s="210" t="s"/>
      <c r="X79" s="208" t="s"/>
      <c r="Y79" s="211" t="s"/>
      <c r="Z79" s="211" t="s"/>
      <c r="AA79" s="211" t="s"/>
      <c r="AB79" s="211" t="s"/>
      <c r="AC79" s="211" t="s"/>
      <c r="AD79" s="211" t="s"/>
      <c r="AE79" s="211" t="s"/>
      <c r="AF79" s="212" t="s"/>
    </row>
    <row r="80" spans="1:32" s="285" customFormat="true" customHeight="true">
      <c r="A80" s="216" t="s">
        <v>338</v>
      </c>
      <c r="B80" s="103" t="s">
        <v>20</v>
      </c>
      <c r="C80" s="206" t="s">
        <v>58</v>
      </c>
      <c r="D80" s="165" t="s">
        <v>339</v>
      </c>
      <c r="E80" s="213" t="s">
        <v>26</v>
      </c>
      <c r="F80" s="165" t="s">
        <v>340</v>
      </c>
      <c r="G80" s="103" t="s">
        <v>23</v>
      </c>
      <c r="H80" s="165" t="s">
        <v>124</v>
      </c>
      <c r="I80" s="217" t="s"/>
      <c r="J80" s="165" t="s">
        <v>26</v>
      </c>
      <c r="K80" s="165" t="s"/>
      <c r="L80" s="165" t="s"/>
      <c r="M80" s="165" t="s"/>
      <c r="N80" s="165" t="s"/>
      <c r="O80" s="165" t="s"/>
      <c r="P80" s="165">
        <v>114652903</v>
      </c>
      <c r="Q80" s="207" t="s"/>
      <c r="R80" s="165">
        <v>27861</v>
      </c>
      <c r="S80" s="165" t="s">
        <v>341</v>
      </c>
      <c r="T80" s="208" t="s"/>
      <c r="U80" s="208" t="s">
        <v>544</v>
      </c>
      <c r="V80" s="209" t="s">
        <v>342</v>
      </c>
      <c r="W80" s="210" t="s">
        <v>26</v>
      </c>
      <c r="X80" s="208" t="s"/>
      <c r="Y80" s="211" t="s"/>
      <c r="Z80" s="211" t="s"/>
      <c r="AA80" s="211" t="s"/>
      <c r="AB80" s="211" t="s"/>
      <c r="AC80" s="211" t="s"/>
      <c r="AD80" s="211" t="s"/>
      <c r="AE80" s="211" t="s"/>
      <c r="AF80" s="212" t="s"/>
    </row>
    <row r="81" spans="1:32" s="285" customFormat="true" customHeight="true">
      <c r="A81" s="216" t="s">
        <v>343</v>
      </c>
      <c r="B81" s="103" t="s">
        <v>32</v>
      </c>
      <c r="C81" s="206" t="s">
        <v>205</v>
      </c>
      <c r="D81" s="218" t="s">
        <v>344</v>
      </c>
      <c r="E81" s="219" t="s">
        <v>345</v>
      </c>
      <c r="F81" s="165" t="s">
        <v>346</v>
      </c>
      <c r="G81" s="103" t="s">
        <v>23</v>
      </c>
      <c r="H81" s="165" t="s">
        <v>124</v>
      </c>
      <c r="I81" s="217" t="s">
        <v>125</v>
      </c>
      <c r="J81" s="165" t="s">
        <v>347</v>
      </c>
      <c r="K81" s="165" t="s"/>
      <c r="L81" s="165" t="s"/>
      <c r="M81" s="165" t="s"/>
      <c r="N81" s="165" t="s"/>
      <c r="O81" s="165" t="s"/>
      <c r="P81" s="165">
        <v>312122071</v>
      </c>
      <c r="Q81" s="207" t="s"/>
      <c r="R81" s="165">
        <v>75985</v>
      </c>
      <c r="S81" s="165" t="s">
        <v>348</v>
      </c>
      <c r="T81" s="208" t="s"/>
      <c r="U81" s="208" t="s">
        <v>545</v>
      </c>
      <c r="V81" s="209" t="s">
        <v>349</v>
      </c>
      <c r="W81" s="210" t="s">
        <v>26</v>
      </c>
      <c r="X81" s="208" t="s"/>
      <c r="Y81" s="211" t="s"/>
      <c r="Z81" s="211" t="s"/>
      <c r="AA81" s="211" t="s"/>
      <c r="AB81" s="211" t="s"/>
      <c r="AC81" s="211" t="s"/>
      <c r="AD81" s="211" t="s"/>
      <c r="AE81" s="211" t="s"/>
      <c r="AF81" s="212" t="s"/>
    </row>
    <row r="82" spans="1:32" s="285" customFormat="true" customHeight="true">
      <c r="A82" s="166" t="s"/>
      <c r="B82" s="103" t="s">
        <v>32</v>
      </c>
      <c r="C82" s="206" t="s">
        <v>205</v>
      </c>
      <c r="E82" s="219" t="s">
        <v>350</v>
      </c>
      <c r="F82" s="165" t="s">
        <v>346</v>
      </c>
      <c r="G82" s="103" t="s">
        <v>23</v>
      </c>
      <c r="H82" s="165" t="s">
        <v>124</v>
      </c>
      <c r="I82" s="217" t="s">
        <v>125</v>
      </c>
      <c r="K82" s="165" t="s"/>
      <c r="L82" s="165" t="s"/>
      <c r="M82" s="165" t="s"/>
      <c r="N82" s="165" t="s"/>
      <c r="O82" s="165" t="s"/>
      <c r="P82" s="165">
        <v>215927423</v>
      </c>
      <c r="Q82" s="207" t="s"/>
      <c r="R82" s="165">
        <v>52616</v>
      </c>
      <c r="S82" s="220" t="s">
        <v>351</v>
      </c>
      <c r="T82" s="221" t="s"/>
      <c r="U82" s="208" t="s">
        <v>546</v>
      </c>
      <c r="V82" s="209" t="s">
        <v>352</v>
      </c>
      <c r="W82" s="210" t="s">
        <v>26</v>
      </c>
      <c r="X82" s="208" t="s"/>
      <c r="Y82" s="211" t="s"/>
      <c r="Z82" s="211" t="s"/>
      <c r="AA82" s="211" t="s"/>
      <c r="AB82" s="211" t="s"/>
      <c r="AC82" s="211" t="s"/>
      <c r="AD82" s="211" t="s"/>
      <c r="AE82" s="211" t="s"/>
      <c r="AF82" s="212" t="s"/>
    </row>
    <row r="83" spans="1:32" s="285" customFormat="true" customHeight="true">
      <c r="A83" s="167" t="s"/>
      <c r="B83" s="103" t="s">
        <v>32</v>
      </c>
      <c r="C83" s="206" t="s">
        <v>205</v>
      </c>
      <c r="E83" s="207" t="s">
        <v>353</v>
      </c>
      <c r="F83" s="165" t="s">
        <v>346</v>
      </c>
      <c r="G83" s="103" t="s">
        <v>23</v>
      </c>
      <c r="H83" s="165" t="s">
        <v>124</v>
      </c>
      <c r="I83" s="217" t="s">
        <v>125</v>
      </c>
      <c r="K83" s="165" t="s"/>
      <c r="L83" s="165" t="s"/>
      <c r="M83" s="165" t="s"/>
      <c r="N83" s="165" t="s"/>
      <c r="O83" s="165" t="s"/>
      <c r="P83" s="165">
        <v>312122071</v>
      </c>
      <c r="Q83" s="207" t="s">
        <v>348</v>
      </c>
      <c r="R83" s="165">
        <v>75985</v>
      </c>
      <c r="S83" s="165" t="s">
        <v>354</v>
      </c>
      <c r="T83" s="208" t="s"/>
      <c r="U83" s="208" t="s">
        <v>547</v>
      </c>
      <c r="V83" s="209" t="s">
        <v>355</v>
      </c>
      <c r="W83" s="210" t="s">
        <v>26</v>
      </c>
      <c r="X83" s="208" t="s"/>
      <c r="Y83" s="211" t="s"/>
      <c r="Z83" s="211" t="s"/>
      <c r="AA83" s="211" t="s"/>
      <c r="AB83" s="211" t="s"/>
      <c r="AC83" s="211" t="s"/>
      <c r="AD83" s="211" t="s"/>
      <c r="AE83" s="211" t="s"/>
      <c r="AF83" s="212" t="s"/>
    </row>
    <row r="84" spans="1:32" s="285" customFormat="true" customHeight="true">
      <c r="A84" s="222" t="s">
        <v>356</v>
      </c>
      <c r="B84" s="91" t="s">
        <v>32</v>
      </c>
      <c r="C84" s="127" t="s">
        <v>37</v>
      </c>
      <c r="D84" s="90" t="s">
        <v>357</v>
      </c>
      <c r="E84" s="198" t="s">
        <v>358</v>
      </c>
      <c r="F84" s="90" t="s"/>
      <c r="G84" s="91" t="s"/>
      <c r="H84" s="90" t="s">
        <v>124</v>
      </c>
      <c r="I84" s="223" t="s">
        <v>38</v>
      </c>
      <c r="J84" s="90" t="s">
        <v>359</v>
      </c>
      <c r="K84" s="90" t="s"/>
      <c r="L84" s="90" t="s"/>
      <c r="M84" s="90" t="s"/>
      <c r="N84" s="90" t="s"/>
      <c r="O84" s="90" t="s"/>
      <c r="P84" s="90">
        <v>184091126</v>
      </c>
      <c r="Q84" s="224" t="s"/>
      <c r="R84" s="90">
        <v>44793</v>
      </c>
      <c r="S84" s="90" t="s">
        <v>360</v>
      </c>
      <c r="T84" s="199" t="s"/>
      <c r="U84" s="161" t="s">
        <v>548</v>
      </c>
      <c r="V84" s="225" t="s">
        <v>361</v>
      </c>
      <c r="W84" s="46" t="s">
        <v>26</v>
      </c>
      <c r="X84" s="161" t="s"/>
      <c r="Y84" s="203" t="s"/>
      <c r="Z84" s="203" t="s"/>
      <c r="AA84" s="203" t="s"/>
      <c r="AB84" s="203" t="s"/>
      <c r="AC84" s="203" t="s"/>
      <c r="AD84" s="203" t="s"/>
      <c r="AE84" s="203" t="s"/>
      <c r="AF84" s="204" t="s"/>
    </row>
    <row r="85" spans="1:32" s="285" customFormat="true" customHeight="true">
      <c r="A85" s="166" t="s"/>
      <c r="B85" s="91" t="s">
        <v>32</v>
      </c>
      <c r="C85" s="127" t="s">
        <v>37</v>
      </c>
      <c r="E85" s="198" t="s">
        <v>362</v>
      </c>
      <c r="F85" s="90" t="s"/>
      <c r="G85" s="91" t="s"/>
      <c r="H85" s="90" t="s">
        <v>124</v>
      </c>
      <c r="I85" s="42" t="s">
        <v>38</v>
      </c>
      <c r="K85" s="90" t="s"/>
      <c r="L85" s="90" t="s"/>
      <c r="M85" s="90" t="s"/>
      <c r="N85" s="90" t="s"/>
      <c r="O85" s="90" t="s"/>
      <c r="P85" s="90">
        <v>162587076</v>
      </c>
      <c r="Q85" s="224" t="s"/>
      <c r="R85" s="90">
        <v>39442</v>
      </c>
      <c r="S85" s="90" t="s">
        <v>363</v>
      </c>
      <c r="T85" s="199" t="s"/>
      <c r="U85" s="170" t="s"/>
      <c r="V85" s="225" t="s">
        <v>364</v>
      </c>
      <c r="W85" s="46" t="s">
        <v>26</v>
      </c>
      <c r="X85" s="161" t="s"/>
      <c r="Y85" s="203" t="s"/>
      <c r="Z85" s="203" t="s"/>
      <c r="AA85" s="203" t="s"/>
      <c r="AB85" s="203" t="s"/>
      <c r="AC85" s="203" t="s"/>
      <c r="AD85" s="203" t="s"/>
      <c r="AE85" s="203" t="s"/>
      <c r="AF85" s="204" t="s"/>
    </row>
    <row r="86" spans="1:32" s="285" customFormat="true" customHeight="true">
      <c r="A86" s="166" t="s"/>
      <c r="B86" s="91" t="s">
        <v>32</v>
      </c>
      <c r="C86" s="127" t="s">
        <v>37</v>
      </c>
      <c r="E86" s="198" t="s">
        <v>365</v>
      </c>
      <c r="F86" s="90" t="s"/>
      <c r="G86" s="91" t="s"/>
      <c r="H86" s="90" t="s">
        <v>124</v>
      </c>
      <c r="I86" s="42" t="s">
        <v>38</v>
      </c>
      <c r="K86" s="90" t="s"/>
      <c r="L86" s="90" t="s"/>
      <c r="M86" s="90" t="s"/>
      <c r="N86" s="90" t="s"/>
      <c r="O86" s="90" t="s"/>
      <c r="P86" s="90">
        <v>42242024</v>
      </c>
      <c r="Q86" s="224" t="s"/>
      <c r="R86" s="90">
        <v>10158</v>
      </c>
      <c r="S86" s="90" t="s">
        <v>366</v>
      </c>
      <c r="T86" s="199" t="s"/>
      <c r="U86" s="170" t="s"/>
      <c r="V86" s="225" t="s">
        <v>367</v>
      </c>
      <c r="W86" s="46" t="s">
        <v>26</v>
      </c>
      <c r="X86" s="161" t="s"/>
      <c r="Y86" s="203" t="s"/>
      <c r="Z86" s="203" t="s"/>
      <c r="AA86" s="203" t="s"/>
      <c r="AB86" s="203" t="s"/>
      <c r="AC86" s="203" t="s"/>
      <c r="AD86" s="203" t="s"/>
      <c r="AE86" s="203" t="s"/>
      <c r="AF86" s="204" t="s"/>
    </row>
    <row r="87" spans="1:32" s="285" customFormat="true" customHeight="true">
      <c r="A87" s="167" t="s"/>
      <c r="B87" s="91" t="s">
        <v>32</v>
      </c>
      <c r="C87" s="127" t="s">
        <v>37</v>
      </c>
      <c r="E87" s="198" t="s">
        <v>368</v>
      </c>
      <c r="F87" s="90" t="s"/>
      <c r="G87" s="91" t="s"/>
      <c r="H87" s="90" t="s">
        <v>124</v>
      </c>
      <c r="I87" s="42" t="s">
        <v>38</v>
      </c>
      <c r="K87" s="90" t="s"/>
      <c r="L87" s="90" t="s"/>
      <c r="M87" s="90" t="s"/>
      <c r="N87" s="90" t="s"/>
      <c r="O87" s="90" t="s"/>
      <c r="P87" s="90">
        <v>391801488</v>
      </c>
      <c r="Q87" s="224" t="s"/>
      <c r="R87" s="90">
        <v>95537</v>
      </c>
      <c r="S87" s="90" t="s">
        <v>369</v>
      </c>
      <c r="T87" s="199" t="s"/>
      <c r="U87" s="200" t="s"/>
      <c r="V87" s="225" t="s">
        <v>370</v>
      </c>
      <c r="W87" s="46" t="s">
        <v>26</v>
      </c>
      <c r="X87" s="161" t="s"/>
      <c r="Y87" s="203" t="s"/>
      <c r="Z87" s="203" t="s"/>
      <c r="AA87" s="203" t="s"/>
      <c r="AB87" s="203" t="s"/>
      <c r="AC87" s="203" t="s"/>
      <c r="AD87" s="203" t="s"/>
      <c r="AE87" s="203" t="s"/>
      <c r="AF87" s="204" t="s"/>
    </row>
    <row r="88" spans="1:32" s="285" customFormat="true" customHeight="true">
      <c r="A88" s="226" t="s">
        <v>371</v>
      </c>
      <c r="B88" s="109" t="s">
        <v>20</v>
      </c>
      <c r="C88" s="227" t="s">
        <v>58</v>
      </c>
      <c r="D88" s="193" t="s">
        <v>372</v>
      </c>
      <c r="E88" s="213" t="s">
        <v>26</v>
      </c>
      <c r="F88" s="193" t="s">
        <v>373</v>
      </c>
      <c r="G88" s="228" t="s">
        <v>23</v>
      </c>
      <c r="H88" s="193" t="s">
        <v>26</v>
      </c>
      <c r="I88" s="223" t="s">
        <v>80</v>
      </c>
      <c r="J88" s="193" t="s">
        <v>26</v>
      </c>
      <c r="K88" s="193" t="s"/>
      <c r="L88" s="193" t="s"/>
      <c r="M88" s="193" t="s"/>
      <c r="N88" s="193" t="s"/>
      <c r="O88" s="193" t="s"/>
      <c r="P88" s="193" t="s"/>
      <c r="Q88" s="229" t="s"/>
      <c r="R88" s="193" t="s"/>
      <c r="S88" s="193" t="s"/>
      <c r="T88" s="230" t="s">
        <v>374</v>
      </c>
      <c r="U88" s="161" t="s">
        <v>549</v>
      </c>
      <c r="V88" s="225" t="s"/>
      <c r="W88" s="46" t="s">
        <v>26</v>
      </c>
      <c r="X88" s="161" t="s"/>
      <c r="Y88" s="231" t="s"/>
      <c r="Z88" s="231" t="s"/>
      <c r="AA88" s="231" t="s"/>
      <c r="AB88" s="231" t="s"/>
      <c r="AC88" s="231" t="s"/>
      <c r="AD88" s="231" t="s"/>
      <c r="AE88" s="231" t="s"/>
      <c r="AF88" s="232" t="s"/>
    </row>
    <row r="89" spans="1:32" s="285" customFormat="true" customHeight="true">
      <c r="A89" s="226" t="s">
        <v>375</v>
      </c>
      <c r="B89" s="109" t="s">
        <v>20</v>
      </c>
      <c r="C89" s="227" t="s">
        <v>41</v>
      </c>
      <c r="D89" s="193" t="s">
        <v>376</v>
      </c>
      <c r="E89" s="213" t="s">
        <v>26</v>
      </c>
      <c r="F89" s="193" t="s"/>
      <c r="G89" s="228" t="s"/>
      <c r="H89" s="90" t="s">
        <v>124</v>
      </c>
      <c r="I89" s="223" t="s"/>
      <c r="J89" s="193" t="s">
        <v>377</v>
      </c>
      <c r="K89" s="193" t="s"/>
      <c r="L89" s="193" t="s"/>
      <c r="M89" s="193" t="s"/>
      <c r="N89" s="193" t="s"/>
      <c r="O89" s="193" t="s"/>
      <c r="P89" s="193">
        <v>128941948</v>
      </c>
      <c r="Q89" s="229" t="s"/>
      <c r="R89" s="193">
        <v>31329</v>
      </c>
      <c r="S89" s="193" t="s">
        <v>378</v>
      </c>
      <c r="T89" s="230" t="s"/>
      <c r="U89" s="161" t="s">
        <v>550</v>
      </c>
      <c r="V89" s="225" t="s">
        <v>379</v>
      </c>
      <c r="W89" s="64" t="s">
        <v>26</v>
      </c>
      <c r="X89" s="161" t="s"/>
      <c r="Y89" s="231" t="s"/>
      <c r="Z89" s="231" t="s"/>
      <c r="AA89" s="231" t="s"/>
      <c r="AB89" s="231" t="s"/>
      <c r="AC89" s="231" t="s"/>
      <c r="AD89" s="231" t="s"/>
      <c r="AE89" s="231" t="s"/>
      <c r="AF89" s="232" t="s"/>
    </row>
    <row r="90" spans="1:32" s="285" customFormat="true" customHeight="true">
      <c r="A90" s="226" t="s">
        <v>380</v>
      </c>
      <c r="B90" s="109" t="s">
        <v>20</v>
      </c>
      <c r="C90" s="227" t="s">
        <v>41</v>
      </c>
      <c r="D90" s="193" t="s">
        <v>376</v>
      </c>
      <c r="E90" s="213" t="s">
        <v>26</v>
      </c>
      <c r="F90" s="193" t="s"/>
      <c r="G90" s="228" t="s"/>
      <c r="H90" s="92" t="s">
        <v>124</v>
      </c>
      <c r="I90" s="193" t="s"/>
      <c r="J90" s="193" t="s">
        <v>381</v>
      </c>
      <c r="K90" s="193" t="s"/>
      <c r="L90" s="193" t="s"/>
      <c r="M90" s="193" t="s"/>
      <c r="N90" s="193" t="s"/>
      <c r="O90" s="193" t="s"/>
      <c r="P90" s="193" t="s"/>
      <c r="Q90" s="229" t="s"/>
      <c r="R90" s="193" t="s"/>
      <c r="S90" s="193" t="s"/>
      <c r="T90" s="230" t="s"/>
      <c r="U90" s="161" t="s">
        <v>551</v>
      </c>
      <c r="V90" s="225" t="s">
        <v>382</v>
      </c>
      <c r="W90" s="64" t="s">
        <v>26</v>
      </c>
      <c r="X90" s="161" t="s"/>
      <c r="Y90" s="231" t="s"/>
      <c r="Z90" s="231" t="s"/>
      <c r="AA90" s="231" t="s"/>
      <c r="AB90" s="231" t="s"/>
      <c r="AC90" s="231" t="s"/>
      <c r="AD90" s="231" t="s"/>
      <c r="AE90" s="231" t="s"/>
      <c r="AF90" s="232" t="s"/>
    </row>
    <row r="91" spans="1:32" s="285" customFormat="true" customHeight="true">
      <c r="A91" s="226" t="s">
        <v>383</v>
      </c>
      <c r="B91" s="109" t="s">
        <v>20</v>
      </c>
      <c r="C91" s="227" t="s">
        <v>41</v>
      </c>
      <c r="D91" s="193" t="s">
        <v>384</v>
      </c>
      <c r="E91" s="213" t="s">
        <v>385</v>
      </c>
      <c r="F91" s="193" t="s">
        <v>386</v>
      </c>
      <c r="G91" s="228" t="s">
        <v>23</v>
      </c>
      <c r="H91" s="193" t="s">
        <v>387</v>
      </c>
      <c r="I91" s="193" t="s"/>
      <c r="J91" s="193" t="s">
        <v>135</v>
      </c>
      <c r="K91" s="193" t="s"/>
      <c r="L91" s="193" t="s"/>
      <c r="M91" s="193" t="s"/>
      <c r="N91" s="193" t="s"/>
      <c r="O91" s="193" t="s"/>
      <c r="P91" s="193" t="s"/>
      <c r="Q91" s="229" t="s"/>
      <c r="R91" s="193" t="s"/>
      <c r="S91" s="193" t="s"/>
      <c r="T91" s="230" t="s"/>
      <c r="U91" s="161" t="s">
        <v>552</v>
      </c>
      <c r="V91" s="225" t="s">
        <v>388</v>
      </c>
      <c r="W91" s="64" t="s">
        <v>26</v>
      </c>
      <c r="X91" s="161" t="s"/>
      <c r="Y91" s="231" t="s"/>
      <c r="Z91" s="231" t="s"/>
      <c r="AA91" s="231" t="s"/>
      <c r="AB91" s="231" t="s"/>
      <c r="AC91" s="231" t="s"/>
      <c r="AD91" s="231" t="s"/>
      <c r="AE91" s="231" t="s"/>
      <c r="AF91" s="232" t="s"/>
    </row>
    <row r="92" spans="1:32" s="285" customFormat="true" customHeight="true">
      <c r="A92" s="226" t="s">
        <v>389</v>
      </c>
      <c r="B92" s="109" t="s">
        <v>20</v>
      </c>
      <c r="C92" s="227" t="s">
        <v>41</v>
      </c>
      <c r="D92" s="193" t="s">
        <v>390</v>
      </c>
      <c r="E92" s="213" t="s">
        <v>385</v>
      </c>
      <c r="F92" s="193" t="s">
        <v>386</v>
      </c>
      <c r="G92" s="228" t="s">
        <v>23</v>
      </c>
      <c r="H92" s="193" t="s">
        <v>387</v>
      </c>
      <c r="I92" s="193" t="s"/>
      <c r="J92" s="193" t="s">
        <v>391</v>
      </c>
      <c r="K92" s="193" t="s"/>
      <c r="L92" s="193" t="s"/>
      <c r="M92" s="193" t="s"/>
      <c r="N92" s="193" t="s"/>
      <c r="O92" s="193" t="s"/>
      <c r="P92" s="193" t="s"/>
      <c r="Q92" s="229" t="s"/>
      <c r="R92" s="193" t="s"/>
      <c r="S92" s="193" t="s"/>
      <c r="T92" s="230" t="s"/>
      <c r="U92" s="161" t="s">
        <v>553</v>
      </c>
      <c r="V92" s="225" t="s">
        <v>392</v>
      </c>
      <c r="W92" s="64" t="s">
        <v>26</v>
      </c>
      <c r="X92" s="161" t="s"/>
      <c r="Y92" s="231" t="s"/>
      <c r="Z92" s="231" t="s"/>
      <c r="AA92" s="231" t="s"/>
      <c r="AB92" s="231" t="s"/>
      <c r="AC92" s="231" t="s"/>
      <c r="AD92" s="231" t="s"/>
      <c r="AE92" s="231" t="s"/>
      <c r="AF92" s="232" t="s"/>
    </row>
    <row r="93" spans="1:32" s="285" customFormat="true" customHeight="true">
      <c r="A93" s="226" t="s">
        <v>393</v>
      </c>
      <c r="B93" s="109" t="s">
        <v>20</v>
      </c>
      <c r="C93" s="227" t="s">
        <v>58</v>
      </c>
      <c r="D93" s="193" t="s">
        <v>394</v>
      </c>
      <c r="E93" s="213" t="s">
        <v>395</v>
      </c>
      <c r="F93" s="193" t="s">
        <v>396</v>
      </c>
      <c r="G93" s="228" t="s">
        <v>23</v>
      </c>
      <c r="H93" s="193" t="s">
        <v>124</v>
      </c>
      <c r="I93" s="193" t="s">
        <v>397</v>
      </c>
      <c r="J93" s="193" t="s">
        <v>26</v>
      </c>
      <c r="K93" s="193" t="s"/>
      <c r="L93" s="193" t="s"/>
      <c r="M93" s="193" t="s"/>
      <c r="N93" s="193" t="s"/>
      <c r="O93" s="193" t="s"/>
      <c r="P93" s="193" t="s"/>
      <c r="Q93" s="229" t="s"/>
      <c r="R93" s="193" t="s"/>
      <c r="S93" s="193" t="s"/>
      <c r="T93" s="230" t="s"/>
      <c r="U93" s="161" t="s"/>
      <c r="V93" s="225" t="s">
        <v>398</v>
      </c>
      <c r="W93" s="64" t="s">
        <v>26</v>
      </c>
      <c r="X93" s="161" t="s"/>
      <c r="Y93" s="231" t="s"/>
      <c r="Z93" s="231" t="s"/>
      <c r="AA93" s="231" t="s"/>
      <c r="AB93" s="231" t="s"/>
      <c r="AC93" s="231" t="s"/>
      <c r="AD93" s="231" t="s"/>
      <c r="AE93" s="231" t="s"/>
      <c r="AF93" s="232" t="s"/>
    </row>
    <row r="94" spans="1:32" s="285" customFormat="true" customHeight="true">
      <c r="A94" s="226" t="s">
        <v>399</v>
      </c>
      <c r="B94" s="109" t="s">
        <v>20</v>
      </c>
      <c r="C94" s="227" t="s">
        <v>58</v>
      </c>
      <c r="D94" s="193" t="s">
        <v>400</v>
      </c>
      <c r="E94" s="213" t="s">
        <v>306</v>
      </c>
      <c r="F94" s="193" t="s">
        <v>401</v>
      </c>
      <c r="G94" s="228" t="s">
        <v>23</v>
      </c>
      <c r="H94" s="193" t="s">
        <v>124</v>
      </c>
      <c r="I94" s="193" t="s">
        <v>80</v>
      </c>
      <c r="J94" s="193" t="s">
        <v>402</v>
      </c>
      <c r="K94" s="193" t="s"/>
      <c r="L94" s="193" t="s"/>
      <c r="M94" s="193" t="s"/>
      <c r="N94" s="193" t="s"/>
      <c r="O94" s="193" t="s"/>
      <c r="P94" s="193">
        <v>89125447</v>
      </c>
      <c r="Q94" s="229" t="s"/>
      <c r="R94" s="193">
        <v>21572</v>
      </c>
      <c r="S94" s="193" t="s">
        <v>403</v>
      </c>
      <c r="T94" s="230" t="s"/>
      <c r="U94" s="161" t="s">
        <v>554</v>
      </c>
      <c r="V94" s="225" t="s">
        <v>404</v>
      </c>
      <c r="W94" s="64" t="s">
        <v>26</v>
      </c>
      <c r="X94" s="161" t="s"/>
      <c r="Y94" s="231" t="s"/>
      <c r="Z94" s="231" t="s"/>
      <c r="AA94" s="231" t="s"/>
      <c r="AB94" s="231" t="s"/>
      <c r="AC94" s="231" t="s"/>
      <c r="AD94" s="231" t="s"/>
      <c r="AE94" s="231" t="s"/>
      <c r="AF94" s="232" t="s"/>
    </row>
    <row r="95" spans="1:32" s="285" customFormat="true" customHeight="true">
      <c r="A95" s="112" t="s"/>
      <c r="B95" s="109" t="s">
        <v>20</v>
      </c>
      <c r="C95" s="227" t="s">
        <v>58</v>
      </c>
      <c r="D95" s="114" t="s"/>
      <c r="E95" s="213" t="s">
        <v>405</v>
      </c>
      <c r="F95" s="193" t="s">
        <v>401</v>
      </c>
      <c r="G95" s="228" t="s">
        <v>23</v>
      </c>
      <c r="H95" s="193" t="s">
        <v>124</v>
      </c>
      <c r="I95" s="193" t="s"/>
      <c r="J95" s="193" t="s">
        <v>26</v>
      </c>
      <c r="K95" s="193" t="s"/>
      <c r="L95" s="193" t="s"/>
      <c r="M95" s="193" t="s"/>
      <c r="N95" s="193" t="s"/>
      <c r="O95" s="193" t="s"/>
      <c r="P95" s="193" t="s">
        <v>26</v>
      </c>
      <c r="Q95" s="233" t="s">
        <v>26</v>
      </c>
      <c r="R95" s="193" t="s">
        <v>26</v>
      </c>
      <c r="S95" s="193" t="s">
        <v>26</v>
      </c>
      <c r="T95" s="230" t="s"/>
      <c r="U95" s="200" t="s"/>
      <c r="V95" s="225" t="s">
        <v>406</v>
      </c>
      <c r="W95" s="64" t="s">
        <v>26</v>
      </c>
      <c r="X95" s="161" t="s"/>
      <c r="Y95" s="231" t="s"/>
      <c r="Z95" s="231" t="s"/>
      <c r="AA95" s="231" t="s"/>
      <c r="AB95" s="231" t="s"/>
      <c r="AC95" s="231" t="s"/>
      <c r="AD95" s="231" t="s"/>
      <c r="AE95" s="231" t="s"/>
      <c r="AF95" s="232" t="s"/>
    </row>
    <row r="96" spans="1:32" s="285" customFormat="true" customHeight="true">
      <c r="A96" s="226" t="s">
        <v>407</v>
      </c>
      <c r="B96" s="109" t="s">
        <v>20</v>
      </c>
      <c r="C96" s="227" t="s">
        <v>58</v>
      </c>
      <c r="D96" s="193" t="s">
        <v>408</v>
      </c>
      <c r="E96" s="213" t="s">
        <v>409</v>
      </c>
      <c r="F96" s="193" t="s">
        <v>410</v>
      </c>
      <c r="G96" s="228" t="s">
        <v>23</v>
      </c>
      <c r="H96" s="193" t="s">
        <v>124</v>
      </c>
      <c r="I96" s="59" t="s">
        <v>80</v>
      </c>
      <c r="J96" s="110" t="s"/>
      <c r="K96" s="193" t="s"/>
      <c r="L96" s="193" t="s"/>
      <c r="M96" s="193" t="s"/>
      <c r="N96" s="193" t="s"/>
      <c r="O96" s="193" t="s"/>
      <c r="P96" s="193">
        <v>22758744</v>
      </c>
      <c r="Q96" s="229" t="s"/>
      <c r="R96" s="193">
        <v>5390</v>
      </c>
      <c r="S96" s="193" t="s">
        <v>411</v>
      </c>
      <c r="T96" s="230" t="s"/>
      <c r="U96" s="161" t="s">
        <v>555</v>
      </c>
      <c r="V96" s="225" t="s">
        <v>412</v>
      </c>
      <c r="W96" s="64" t="s">
        <v>26</v>
      </c>
      <c r="X96" s="161" t="s"/>
      <c r="Y96" s="231" t="s"/>
      <c r="Z96" s="231" t="s"/>
      <c r="AA96" s="231" t="s"/>
      <c r="AB96" s="231" t="s"/>
      <c r="AC96" s="231" t="s"/>
      <c r="AD96" s="231" t="s"/>
      <c r="AE96" s="231" t="s"/>
      <c r="AF96" s="232" t="s"/>
    </row>
    <row r="97" spans="1:32" s="285" customFormat="true" customHeight="true">
      <c r="A97" s="108" t="s"/>
      <c r="B97" s="109" t="s">
        <v>20</v>
      </c>
      <c r="C97" s="227" t="s">
        <v>58</v>
      </c>
      <c r="D97" s="110" t="s"/>
      <c r="E97" s="213" t="s">
        <v>413</v>
      </c>
      <c r="F97" s="193" t="s">
        <v>410</v>
      </c>
      <c r="G97" s="228" t="s">
        <v>23</v>
      </c>
      <c r="H97" s="193" t="s">
        <v>124</v>
      </c>
      <c r="I97" s="110" t="s"/>
      <c r="J97" s="110" t="s"/>
      <c r="K97" s="193" t="s"/>
      <c r="L97" s="193" t="s"/>
      <c r="M97" s="193" t="s"/>
      <c r="N97" s="193" t="s"/>
      <c r="O97" s="193" t="s"/>
      <c r="P97" s="193" t="s"/>
      <c r="Q97" s="229" t="s"/>
      <c r="R97" s="193" t="s"/>
      <c r="S97" s="193" t="s"/>
      <c r="T97" s="230" t="s"/>
      <c r="U97" s="170" t="s"/>
      <c r="V97" s="225" t="s">
        <v>414</v>
      </c>
      <c r="W97" s="64" t="s">
        <v>26</v>
      </c>
      <c r="X97" s="161" t="s"/>
      <c r="Y97" s="231" t="s"/>
      <c r="Z97" s="231" t="s"/>
      <c r="AA97" s="231" t="s"/>
      <c r="AB97" s="231" t="s"/>
      <c r="AC97" s="231" t="s"/>
      <c r="AD97" s="231" t="s"/>
      <c r="AE97" s="231" t="s"/>
      <c r="AF97" s="232" t="s"/>
    </row>
    <row r="98" spans="1:32" s="285" customFormat="true" customHeight="true">
      <c r="A98" s="108" t="s"/>
      <c r="B98" s="109" t="s">
        <v>20</v>
      </c>
      <c r="C98" s="227" t="s">
        <v>58</v>
      </c>
      <c r="D98" s="110" t="s"/>
      <c r="E98" s="213" t="s">
        <v>415</v>
      </c>
      <c r="F98" s="193" t="s">
        <v>410</v>
      </c>
      <c r="G98" s="228" t="s">
        <v>23</v>
      </c>
      <c r="H98" s="193" t="s">
        <v>124</v>
      </c>
      <c r="I98" s="110" t="s"/>
      <c r="J98" s="110" t="s"/>
      <c r="K98" s="193" t="s"/>
      <c r="L98" s="193" t="s"/>
      <c r="M98" s="193" t="s"/>
      <c r="N98" s="193" t="s"/>
      <c r="O98" s="193" t="s"/>
      <c r="P98" s="193">
        <v>171744573</v>
      </c>
      <c r="Q98" s="229" t="s"/>
      <c r="R98" s="193">
        <v>38742</v>
      </c>
      <c r="S98" s="193" t="s">
        <v>416</v>
      </c>
      <c r="T98" s="230" t="s"/>
      <c r="U98" s="170" t="s"/>
      <c r="V98" s="225" t="s">
        <v>417</v>
      </c>
      <c r="W98" s="64" t="s">
        <v>26</v>
      </c>
      <c r="X98" s="161" t="s"/>
      <c r="Y98" s="231" t="s"/>
      <c r="Z98" s="231" t="s"/>
      <c r="AA98" s="231" t="s"/>
      <c r="AB98" s="231" t="s"/>
      <c r="AC98" s="231" t="s"/>
      <c r="AD98" s="231" t="s"/>
      <c r="AE98" s="231" t="s"/>
      <c r="AF98" s="232" t="s"/>
    </row>
    <row r="99" spans="1:32" s="285" customFormat="true" customHeight="true">
      <c r="A99" s="108" t="s"/>
      <c r="B99" s="109" t="s">
        <v>20</v>
      </c>
      <c r="C99" s="227" t="s">
        <v>58</v>
      </c>
      <c r="D99" s="110" t="s"/>
      <c r="E99" s="213" t="s">
        <v>418</v>
      </c>
      <c r="F99" s="193" t="s">
        <v>410</v>
      </c>
      <c r="G99" s="228" t="s">
        <v>23</v>
      </c>
      <c r="H99" s="193" t="s">
        <v>124</v>
      </c>
      <c r="I99" s="110" t="s"/>
      <c r="J99" s="110" t="s"/>
      <c r="K99" s="193" t="s"/>
      <c r="L99" s="193" t="s"/>
      <c r="M99" s="193" t="s"/>
      <c r="N99" s="193" t="s"/>
      <c r="O99" s="193" t="s"/>
      <c r="P99" s="193">
        <v>23548996</v>
      </c>
      <c r="Q99" s="229" t="s"/>
      <c r="R99" s="193">
        <v>5617</v>
      </c>
      <c r="S99" s="193" t="s">
        <v>419</v>
      </c>
      <c r="T99" s="230" t="s"/>
      <c r="U99" s="170" t="s"/>
      <c r="V99" s="225" t="s">
        <v>420</v>
      </c>
      <c r="W99" s="64" t="s">
        <v>26</v>
      </c>
      <c r="X99" s="161" t="s"/>
      <c r="Y99" s="231" t="s"/>
      <c r="Z99" s="231" t="s"/>
      <c r="AA99" s="231" t="s"/>
      <c r="AB99" s="231" t="s"/>
      <c r="AC99" s="231" t="s"/>
      <c r="AD99" s="231" t="s"/>
      <c r="AE99" s="231" t="s"/>
      <c r="AF99" s="232" t="s"/>
    </row>
    <row r="100" spans="1:32" s="285" customFormat="true" customHeight="true">
      <c r="A100" s="112" t="s"/>
      <c r="B100" s="109" t="s">
        <v>20</v>
      </c>
      <c r="C100" s="227" t="s">
        <v>58</v>
      </c>
      <c r="D100" s="114" t="s"/>
      <c r="E100" s="213" t="s">
        <v>306</v>
      </c>
      <c r="F100" s="193" t="s">
        <v>410</v>
      </c>
      <c r="G100" s="228" t="s">
        <v>23</v>
      </c>
      <c r="H100" s="193" t="s">
        <v>124</v>
      </c>
      <c r="I100" s="110" t="s"/>
      <c r="J100" s="114" t="s"/>
      <c r="K100" s="193" t="s"/>
      <c r="L100" s="193" t="s"/>
      <c r="M100" s="193" t="s"/>
      <c r="N100" s="193" t="s"/>
      <c r="O100" s="193" t="s"/>
      <c r="P100" s="193" t="s">
        <v>26</v>
      </c>
      <c r="Q100" s="233" t="s">
        <v>26</v>
      </c>
      <c r="R100" s="193" t="s">
        <v>26</v>
      </c>
      <c r="S100" s="193" t="s">
        <v>26</v>
      </c>
      <c r="T100" s="230" t="s"/>
      <c r="U100" s="200" t="s"/>
      <c r="V100" s="225" t="s">
        <v>421</v>
      </c>
      <c r="W100" s="202" t="s">
        <v>26</v>
      </c>
      <c r="X100" s="161" t="s"/>
      <c r="Y100" s="231" t="s"/>
      <c r="Z100" s="231" t="s"/>
      <c r="AA100" s="231" t="s"/>
      <c r="AB100" s="231" t="s"/>
      <c r="AC100" s="231" t="s"/>
      <c r="AD100" s="231" t="s"/>
      <c r="AE100" s="231" t="s"/>
      <c r="AF100" s="232" t="s"/>
    </row>
    <row r="101" spans="1:32" s="285" customFormat="true" customHeight="true">
      <c r="A101" s="234" t="s">
        <v>422</v>
      </c>
      <c r="B101" s="109" t="s">
        <v>20</v>
      </c>
      <c r="C101" s="227" t="s">
        <v>58</v>
      </c>
      <c r="D101" s="235" t="s">
        <v>423</v>
      </c>
      <c r="E101" s="236" t="s">
        <v>424</v>
      </c>
      <c r="F101" s="193" t="s">
        <v>425</v>
      </c>
      <c r="G101" s="228" t="s">
        <v>23</v>
      </c>
      <c r="H101" s="193" t="s">
        <v>426</v>
      </c>
      <c r="I101" s="110" t="s"/>
      <c r="J101" s="193" t="s">
        <v>26</v>
      </c>
      <c r="K101" s="193" t="s"/>
      <c r="L101" s="193" t="s"/>
      <c r="M101" s="193" t="s"/>
      <c r="N101" s="193" t="s"/>
      <c r="O101" s="193" t="s"/>
      <c r="P101" s="193" t="s">
        <v>26</v>
      </c>
      <c r="Q101" s="233" t="s">
        <v>26</v>
      </c>
      <c r="R101" s="193" t="s">
        <v>26</v>
      </c>
      <c r="S101" s="193" t="s">
        <v>26</v>
      </c>
      <c r="T101" s="230" t="s"/>
      <c r="U101" s="237" t="s">
        <v>556</v>
      </c>
      <c r="V101" s="238" t="s"/>
      <c r="W101" s="202" t="s">
        <v>26</v>
      </c>
      <c r="X101" s="161" t="s"/>
      <c r="Y101" s="231" t="s"/>
      <c r="Z101" s="231" t="s"/>
      <c r="AA101" s="231" t="s"/>
      <c r="AB101" s="231" t="s"/>
      <c r="AC101" s="231" t="s"/>
      <c r="AD101" s="231" t="s"/>
      <c r="AE101" s="231" t="s"/>
      <c r="AF101" s="232" t="s"/>
    </row>
    <row r="102" spans="1:32" s="285" customFormat="true" customHeight="true">
      <c r="A102" s="234" t="s">
        <v>427</v>
      </c>
      <c r="B102" s="109" t="s">
        <v>20</v>
      </c>
      <c r="C102" s="227" t="s">
        <v>58</v>
      </c>
      <c r="D102" s="235" t="s">
        <v>428</v>
      </c>
      <c r="E102" s="236" t="s">
        <v>429</v>
      </c>
      <c r="F102" s="193" t="s">
        <v>425</v>
      </c>
      <c r="G102" s="228" t="s">
        <v>23</v>
      </c>
      <c r="H102" s="193" t="s">
        <v>426</v>
      </c>
      <c r="I102" s="110" t="s"/>
      <c r="J102" s="193" t="s">
        <v>26</v>
      </c>
      <c r="K102" s="193" t="s"/>
      <c r="L102" s="193" t="s"/>
      <c r="M102" s="193" t="s"/>
      <c r="N102" s="193" t="s"/>
      <c r="O102" s="193" t="s"/>
      <c r="P102" s="193" t="s">
        <v>26</v>
      </c>
      <c r="Q102" s="233" t="s">
        <v>26</v>
      </c>
      <c r="R102" s="193" t="s">
        <v>26</v>
      </c>
      <c r="S102" s="193" t="s">
        <v>26</v>
      </c>
      <c r="T102" s="230" t="s"/>
      <c r="U102" s="237" t="s">
        <v>557</v>
      </c>
      <c r="V102" s="238" t="s"/>
      <c r="W102" s="202" t="s">
        <v>26</v>
      </c>
      <c r="X102" s="161" t="s"/>
      <c r="Y102" s="231" t="s"/>
      <c r="Z102" s="231" t="s"/>
      <c r="AA102" s="231" t="s"/>
      <c r="AB102" s="231" t="s"/>
      <c r="AC102" s="231" t="s"/>
      <c r="AD102" s="231" t="s"/>
      <c r="AE102" s="231" t="s"/>
      <c r="AF102" s="232" t="s"/>
    </row>
    <row r="103" spans="1:32" s="285" customFormat="true" customHeight="true">
      <c r="A103" s="239" t="s">
        <v>430</v>
      </c>
      <c r="B103" s="109" t="s">
        <v>20</v>
      </c>
      <c r="C103" s="227" t="s">
        <v>58</v>
      </c>
      <c r="D103" s="240" t="s">
        <v>431</v>
      </c>
      <c r="E103" s="241" t="s">
        <v>432</v>
      </c>
      <c r="F103" s="193" t="s">
        <v>425</v>
      </c>
      <c r="G103" s="228" t="s">
        <v>23</v>
      </c>
      <c r="H103" s="193" t="s">
        <v>426</v>
      </c>
      <c r="I103" s="114" t="s"/>
      <c r="J103" s="193" t="s">
        <v>26</v>
      </c>
      <c r="K103" s="193" t="s"/>
      <c r="L103" s="193" t="s"/>
      <c r="M103" s="193" t="s"/>
      <c r="N103" s="193" t="s"/>
      <c r="O103" s="193" t="s"/>
      <c r="P103" s="193" t="s">
        <v>26</v>
      </c>
      <c r="Q103" s="233" t="s">
        <v>26</v>
      </c>
      <c r="R103" s="193" t="s">
        <v>26</v>
      </c>
      <c r="S103" s="193" t="s">
        <v>26</v>
      </c>
      <c r="T103" s="230" t="s"/>
      <c r="U103" s="237" t="s">
        <v>558</v>
      </c>
      <c r="V103" s="238" t="s"/>
      <c r="W103" s="202" t="s">
        <v>26</v>
      </c>
      <c r="X103" s="161" t="s"/>
      <c r="Y103" s="231" t="s"/>
      <c r="Z103" s="231" t="s"/>
      <c r="AA103" s="231" t="s"/>
      <c r="AB103" s="231" t="s"/>
      <c r="AC103" s="231" t="s"/>
      <c r="AD103" s="231" t="s"/>
      <c r="AE103" s="231" t="s"/>
      <c r="AF103" s="232" t="s"/>
    </row>
    <row r="104" spans="1:32" s="285" customFormat="true" customHeight="true">
      <c r="A104" s="242" t="s">
        <v>433</v>
      </c>
      <c r="B104" s="109" t="s">
        <v>20</v>
      </c>
      <c r="C104" s="227" t="s">
        <v>58</v>
      </c>
      <c r="D104" s="217" t="s">
        <v>434</v>
      </c>
      <c r="E104" s="243" t="s">
        <v>435</v>
      </c>
      <c r="F104" s="217" t="s">
        <v>91</v>
      </c>
      <c r="G104" s="228" t="s"/>
      <c r="H104" s="193" t="s"/>
      <c r="I104" s="193" t="s"/>
      <c r="J104" s="193" t="s"/>
      <c r="K104" s="193" t="s"/>
      <c r="L104" s="193" t="s"/>
      <c r="M104" s="193" t="s"/>
      <c r="N104" s="193" t="s"/>
      <c r="O104" s="193" t="s"/>
      <c r="P104" s="193" t="s"/>
      <c r="Q104" s="233" t="s"/>
      <c r="R104" s="193" t="s"/>
      <c r="S104" s="193" t="s"/>
      <c r="T104" s="230" t="s"/>
      <c r="U104" s="237" t="s">
        <v>559</v>
      </c>
      <c r="V104" s="238" t="s">
        <v>436</v>
      </c>
      <c r="W104" s="202" t="s">
        <v>26</v>
      </c>
      <c r="X104" s="161" t="s"/>
      <c r="Y104" s="231" t="s"/>
      <c r="Z104" s="231" t="s"/>
      <c r="AA104" s="231" t="s"/>
      <c r="AB104" s="231" t="s"/>
      <c r="AC104" s="231" t="s"/>
      <c r="AD104" s="231" t="s"/>
      <c r="AE104" s="231" t="s"/>
      <c r="AF104" s="232" t="s"/>
    </row>
    <row r="105" spans="1:32" s="285" customFormat="true" customHeight="true">
      <c r="A105" s="108" t="s"/>
      <c r="B105" s="109" t="s">
        <v>20</v>
      </c>
      <c r="C105" s="227" t="s">
        <v>58</v>
      </c>
      <c r="D105" s="170" t="s"/>
      <c r="E105" s="243" t="s">
        <v>437</v>
      </c>
      <c r="F105" s="193" t="s">
        <v>91</v>
      </c>
      <c r="G105" s="228" t="s"/>
      <c r="H105" s="193" t="s"/>
      <c r="I105" s="193" t="s"/>
      <c r="J105" s="193" t="s"/>
      <c r="K105" s="193" t="s"/>
      <c r="L105" s="193" t="s"/>
      <c r="M105" s="193" t="s"/>
      <c r="N105" s="193" t="s"/>
      <c r="O105" s="193" t="s"/>
      <c r="P105" s="193" t="s"/>
      <c r="Q105" s="233" t="s"/>
      <c r="R105" s="193" t="s"/>
      <c r="S105" s="193" t="s"/>
      <c r="T105" s="230" t="s"/>
      <c r="U105" s="170" t="s"/>
      <c r="V105" s="238" t="s">
        <v>438</v>
      </c>
      <c r="W105" s="202" t="s">
        <v>26</v>
      </c>
      <c r="X105" s="161" t="s"/>
      <c r="Y105" s="231" t="s"/>
      <c r="Z105" s="231" t="s"/>
      <c r="AA105" s="231" t="s"/>
      <c r="AB105" s="231" t="s"/>
      <c r="AC105" s="231" t="s"/>
      <c r="AD105" s="231" t="s"/>
      <c r="AE105" s="231" t="s"/>
      <c r="AF105" s="232" t="s"/>
    </row>
    <row r="106" spans="1:32" s="285" customFormat="true" customHeight="true">
      <c r="A106" s="108" t="s"/>
      <c r="B106" s="109" t="s">
        <v>20</v>
      </c>
      <c r="C106" s="227" t="s">
        <v>58</v>
      </c>
      <c r="D106" s="170" t="s"/>
      <c r="E106" s="243" t="s">
        <v>439</v>
      </c>
      <c r="F106" s="193" t="s">
        <v>91</v>
      </c>
      <c r="G106" s="228" t="s"/>
      <c r="H106" s="193" t="s"/>
      <c r="I106" s="193" t="s"/>
      <c r="J106" s="193" t="s"/>
      <c r="K106" s="193" t="s"/>
      <c r="L106" s="193" t="s"/>
      <c r="M106" s="193" t="s"/>
      <c r="N106" s="193" t="s"/>
      <c r="O106" s="193" t="s"/>
      <c r="P106" s="193" t="s"/>
      <c r="Q106" s="233" t="s"/>
      <c r="R106" s="193" t="s"/>
      <c r="S106" s="193" t="s"/>
      <c r="T106" s="230" t="s"/>
      <c r="U106" s="170" t="s"/>
      <c r="V106" s="238" t="s">
        <v>440</v>
      </c>
      <c r="W106" s="202" t="s">
        <v>26</v>
      </c>
      <c r="X106" s="161" t="s"/>
      <c r="Y106" s="231" t="s"/>
      <c r="Z106" s="231" t="s"/>
      <c r="AA106" s="231" t="s"/>
      <c r="AB106" s="231" t="s"/>
      <c r="AC106" s="231" t="s"/>
      <c r="AD106" s="231" t="s"/>
      <c r="AE106" s="231" t="s"/>
      <c r="AF106" s="232" t="s"/>
    </row>
    <row r="107" spans="1:32" s="285" customFormat="true" customHeight="true">
      <c r="A107" s="108" t="s"/>
      <c r="B107" s="109" t="s">
        <v>20</v>
      </c>
      <c r="C107" s="227" t="s">
        <v>58</v>
      </c>
      <c r="D107" s="170" t="s"/>
      <c r="E107" s="243" t="s">
        <v>441</v>
      </c>
      <c r="F107" s="193" t="s">
        <v>91</v>
      </c>
      <c r="G107" s="228" t="s"/>
      <c r="H107" s="193" t="s"/>
      <c r="I107" s="193" t="s"/>
      <c r="J107" s="193" t="s"/>
      <c r="K107" s="193" t="s"/>
      <c r="L107" s="193" t="s"/>
      <c r="M107" s="193" t="s"/>
      <c r="N107" s="193" t="s"/>
      <c r="O107" s="193" t="s"/>
      <c r="P107" s="193" t="s"/>
      <c r="Q107" s="233" t="s"/>
      <c r="R107" s="193" t="s"/>
      <c r="S107" s="193" t="s"/>
      <c r="T107" s="230" t="s"/>
      <c r="U107" s="170" t="s"/>
      <c r="V107" s="238" t="s">
        <v>442</v>
      </c>
      <c r="W107" s="202" t="s">
        <v>26</v>
      </c>
      <c r="X107" s="161" t="s"/>
      <c r="Y107" s="231" t="s"/>
      <c r="Z107" s="231" t="s"/>
      <c r="AA107" s="231" t="s"/>
      <c r="AB107" s="231" t="s"/>
      <c r="AC107" s="231" t="s"/>
      <c r="AD107" s="231" t="s"/>
      <c r="AE107" s="231" t="s"/>
      <c r="AF107" s="232" t="s"/>
    </row>
    <row r="108" spans="1:32" s="285" customFormat="true" customHeight="true">
      <c r="A108" s="108" t="s"/>
      <c r="B108" s="109" t="s">
        <v>20</v>
      </c>
      <c r="C108" s="227" t="s">
        <v>58</v>
      </c>
      <c r="D108" s="170" t="s"/>
      <c r="E108" s="243" t="s">
        <v>443</v>
      </c>
      <c r="F108" s="193" t="s">
        <v>91</v>
      </c>
      <c r="G108" s="228" t="s"/>
      <c r="H108" s="193" t="s"/>
      <c r="I108" s="193" t="s"/>
      <c r="J108" s="193" t="s"/>
      <c r="K108" s="193" t="s"/>
      <c r="L108" s="193" t="s"/>
      <c r="M108" s="193" t="s"/>
      <c r="N108" s="193" t="s"/>
      <c r="O108" s="193" t="s"/>
      <c r="P108" s="193" t="s"/>
      <c r="Q108" s="233" t="s"/>
      <c r="R108" s="193" t="s"/>
      <c r="S108" s="193" t="s"/>
      <c r="T108" s="230" t="s"/>
      <c r="U108" s="170" t="s"/>
      <c r="V108" s="238" t="s">
        <v>444</v>
      </c>
      <c r="W108" s="202" t="s">
        <v>26</v>
      </c>
      <c r="X108" s="161" t="s"/>
      <c r="Y108" s="231" t="s"/>
      <c r="Z108" s="231" t="s"/>
      <c r="AA108" s="231" t="s"/>
      <c r="AB108" s="231" t="s"/>
      <c r="AC108" s="231" t="s"/>
      <c r="AD108" s="231" t="s"/>
      <c r="AE108" s="231" t="s"/>
      <c r="AF108" s="232" t="s"/>
    </row>
    <row r="109" spans="1:32" s="285" customFormat="true" customHeight="true">
      <c r="A109" s="112" t="s"/>
      <c r="B109" s="109" t="s">
        <v>20</v>
      </c>
      <c r="C109" s="227" t="s">
        <v>58</v>
      </c>
      <c r="D109" s="200" t="s"/>
      <c r="E109" s="243" t="s">
        <v>445</v>
      </c>
      <c r="F109" s="193" t="s">
        <v>91</v>
      </c>
      <c r="G109" s="228" t="s"/>
      <c r="H109" s="193" t="s"/>
      <c r="I109" s="193" t="s"/>
      <c r="J109" s="193" t="s"/>
      <c r="K109" s="193" t="s"/>
      <c r="L109" s="193" t="s"/>
      <c r="M109" s="193" t="s"/>
      <c r="N109" s="193" t="s"/>
      <c r="O109" s="193" t="s"/>
      <c r="P109" s="193" t="s"/>
      <c r="Q109" s="233" t="s"/>
      <c r="R109" s="193" t="s"/>
      <c r="S109" s="193" t="s"/>
      <c r="T109" s="230" t="s"/>
      <c r="U109" s="200" t="s"/>
      <c r="V109" s="238" t="s">
        <v>446</v>
      </c>
      <c r="W109" s="202" t="s">
        <v>26</v>
      </c>
      <c r="X109" s="161" t="s"/>
      <c r="Y109" s="231" t="s"/>
      <c r="Z109" s="231" t="s"/>
      <c r="AA109" s="231" t="s"/>
      <c r="AB109" s="231" t="s"/>
      <c r="AC109" s="231" t="s"/>
      <c r="AD109" s="231" t="s"/>
      <c r="AE109" s="231" t="s"/>
      <c r="AF109" s="232" t="s"/>
    </row>
    <row r="110" spans="1:32" s="285" customFormat="true" customHeight="true">
      <c r="A110" s="244" t="s">
        <v>447</v>
      </c>
      <c r="B110" s="245" t="s"/>
      <c r="C110" s="246" t="s"/>
      <c r="D110" s="247" t="s"/>
      <c r="E110" s="248" t="s"/>
      <c r="F110" s="247" t="s"/>
      <c r="G110" s="249" t="s"/>
      <c r="H110" s="247" t="s"/>
      <c r="I110" s="247" t="s"/>
      <c r="J110" s="247" t="s"/>
      <c r="K110" s="247" t="s"/>
      <c r="L110" s="247" t="s"/>
      <c r="M110" s="247" t="s"/>
      <c r="N110" s="247" t="s"/>
      <c r="O110" s="247" t="s"/>
      <c r="P110" s="247" t="s"/>
      <c r="Q110" s="250">
        <f>=SUM(Q3:Q69)</f>
        <v>9241047.91416667</v>
      </c>
      <c r="R110" s="247" t="s"/>
      <c r="S110" s="247" t="s"/>
      <c r="T110" s="251" t="s"/>
      <c r="U110" s="251" t="s"/>
      <c r="V110" s="252" t="s"/>
      <c r="W110" s="253" t="s">
        <v>26</v>
      </c>
      <c r="X110" s="251" t="s"/>
      <c r="Y110" s="254" t="s"/>
      <c r="Z110" s="254" t="s"/>
      <c r="AA110" s="254" t="s"/>
      <c r="AB110" s="254" t="s"/>
      <c r="AC110" s="254" t="s"/>
      <c r="AD110" s="254" t="s"/>
      <c r="AE110" s="254" t="s"/>
      <c r="AF110" s="255" t="s"/>
    </row>
    <row r="111" spans="1:23" hidden="true">
      <c r="A111" s="46" t="s">
        <v>448</v>
      </c>
      <c r="B111" s="256" t="s">
        <v>32</v>
      </c>
      <c r="C111" s="256" t="s">
        <v>37</v>
      </c>
      <c r="D111" s="92" t="s">
        <v>449</v>
      </c>
      <c r="E111" s="89" t="s">
        <v>26</v>
      </c>
      <c r="G111" s="86" t="s"/>
      <c r="H111" s="92" t="s">
        <v>124</v>
      </c>
      <c r="J111" s="89" t="s">
        <v>450</v>
      </c>
      <c r="K111" s="92">
        <v>24</v>
      </c>
      <c r="P111" s="89" t="s"/>
      <c r="R111" s="89" t="s"/>
      <c r="T111" s="257" t="s">
        <v>451</v>
      </c>
      <c r="U111" s="52" t="s">
        <v>560</v>
      </c>
      <c r="V111" s="258" t="s">
        <v>452</v>
      </c>
      <c r="W111" s="125" t="s">
        <v>26</v>
      </c>
    </row>
    <row r="112" spans="1:32" s="285" customFormat="true" hidden="true" customHeight="true">
      <c r="A112" s="85" t="s">
        <v>453</v>
      </c>
      <c r="B112" s="86" t="s">
        <v>32</v>
      </c>
      <c r="C112" s="87" t="s"/>
      <c r="D112" s="259" t="s">
        <v>454</v>
      </c>
      <c r="E112" s="89" t="s">
        <v>26</v>
      </c>
      <c r="F112" s="92" t="s"/>
      <c r="G112" s="86" t="s"/>
      <c r="H112" s="92" t="s">
        <v>124</v>
      </c>
      <c r="I112" s="92" t="s"/>
      <c r="J112" s="92" t="s">
        <v>26</v>
      </c>
      <c r="K112" s="92" t="s"/>
      <c r="L112" s="92" t="s"/>
      <c r="M112" s="92" t="s"/>
      <c r="N112" s="92" t="s"/>
      <c r="O112" s="92" t="s"/>
      <c r="P112" s="92" t="s">
        <v>26</v>
      </c>
      <c r="Q112" s="126" t="s">
        <v>26</v>
      </c>
      <c r="R112" s="92" t="s">
        <v>26</v>
      </c>
      <c r="S112" s="92" t="s">
        <v>26</v>
      </c>
      <c r="T112" s="52" t="s"/>
      <c r="U112" s="52" t="s">
        <v>561</v>
      </c>
      <c r="V112" s="157" t="s">
        <v>455</v>
      </c>
      <c r="W112" s="260" t="s">
        <v>26</v>
      </c>
      <c r="X112" s="52" t="s"/>
      <c r="Y112" s="205" t="s"/>
      <c r="Z112" s="205" t="s"/>
      <c r="AA112" s="205" t="s"/>
      <c r="AB112" s="205" t="s"/>
      <c r="AC112" s="205" t="s"/>
      <c r="AD112" s="205" t="s"/>
      <c r="AE112" s="205" t="s"/>
      <c r="AF112" s="95" t="s"/>
    </row>
    <row r="113" spans="2:7">
      <c r="B113" s="261" t="s"/>
      <c r="C113" s="261" t="s"/>
      <c r="G113" s="103" t="s"/>
    </row>
    <row r="114" spans="2:7">
      <c r="B114" s="261" t="s"/>
      <c r="C114" s="261" t="s"/>
      <c r="G114" s="103" t="s"/>
    </row>
    <row r="115" spans="2:7">
      <c r="B115" s="261" t="s"/>
      <c r="C115" s="261" t="s"/>
      <c r="G115" s="103" t="s"/>
    </row>
    <row r="116" spans="2:7">
      <c r="B116" s="261" t="s"/>
      <c r="C116" s="261" t="s"/>
      <c r="G116" s="103" t="s"/>
    </row>
    <row r="117" spans="2:7">
      <c r="B117" s="261" t="s"/>
      <c r="C117" s="261" t="s"/>
      <c r="G117" s="103" t="s"/>
    </row>
    <row r="118" spans="2:7">
      <c r="B118" s="261" t="s"/>
      <c r="C118" s="261" t="s"/>
      <c r="G118" s="103" t="s"/>
    </row>
    <row r="119" spans="2:7">
      <c r="B119" s="261" t="s"/>
      <c r="C119" s="261" t="s"/>
      <c r="G119" s="103" t="s"/>
    </row>
    <row r="120" spans="2:7">
      <c r="B120" s="261" t="s"/>
      <c r="C120" s="261" t="s"/>
      <c r="G120" s="103" t="s"/>
    </row>
    <row r="121" spans="2:17">
      <c r="B121" s="261" t="s"/>
      <c r="C121" s="261" t="s"/>
      <c r="G121" s="103" t="s"/>
      <c r="P121" s="92" t="s"/>
      <c r="Q121" s="92" t="s"/>
    </row>
    <row r="122" spans="2:17">
      <c r="B122" s="261" t="s"/>
      <c r="C122" s="261" t="s"/>
      <c r="G122" s="103" t="s"/>
      <c r="P122" s="92" t="s"/>
      <c r="Q122" s="92" t="s"/>
    </row>
    <row r="123" spans="2:17">
      <c r="B123" s="261" t="s"/>
      <c r="C123" s="261" t="s"/>
      <c r="G123" s="103" t="s"/>
      <c r="P123" s="92" t="s"/>
      <c r="Q123" s="92" t="s"/>
    </row>
    <row r="124" spans="2:17">
      <c r="B124" s="261" t="s"/>
      <c r="C124" s="261" t="s"/>
      <c r="G124" s="103" t="s"/>
      <c r="P124" s="92" t="s"/>
      <c r="Q124" s="92" t="s"/>
    </row>
    <row r="125" spans="2:17">
      <c r="B125" s="261" t="s"/>
      <c r="C125" s="261" t="s"/>
      <c r="G125" s="103" t="s"/>
      <c r="P125" s="92" t="s"/>
      <c r="Q125" s="92" t="s"/>
    </row>
    <row r="126" spans="2:7">
      <c r="B126" s="261" t="s"/>
      <c r="C126" s="261" t="s"/>
      <c r="G126" s="103" t="s"/>
    </row>
    <row r="127" spans="2:7">
      <c r="B127" s="261" t="s"/>
      <c r="C127" s="261" t="s"/>
      <c r="G127" s="103" t="s"/>
    </row>
    <row r="128" spans="2:7">
      <c r="B128" s="261" t="s"/>
      <c r="C128" s="261" t="s"/>
      <c r="G128" s="103" t="s"/>
    </row>
    <row r="129" spans="2:7">
      <c r="B129" s="261" t="s"/>
      <c r="C129" s="261" t="s"/>
      <c r="G129" s="103" t="s"/>
    </row>
    <row r="130" spans="2:7">
      <c r="B130" s="261" t="s"/>
      <c r="C130" s="261" t="s"/>
      <c r="G130" s="103" t="s"/>
    </row>
    <row r="131" spans="2:7">
      <c r="B131" s="261" t="s"/>
      <c r="C131" s="261" t="s"/>
      <c r="G131" s="103" t="s"/>
    </row>
    <row r="132" spans="2:7">
      <c r="B132" s="261" t="s"/>
      <c r="C132" s="261" t="s"/>
      <c r="G132" s="103" t="s"/>
    </row>
    <row r="133" spans="2:7">
      <c r="B133" s="261" t="s"/>
      <c r="C133" s="261" t="s"/>
      <c r="G133" s="103" t="s"/>
    </row>
    <row r="134" spans="2:7">
      <c r="B134" s="261" t="s"/>
      <c r="C134" s="261" t="s"/>
      <c r="G134" s="103" t="s"/>
    </row>
    <row r="135" spans="2:7">
      <c r="B135" s="261" t="s"/>
      <c r="C135" s="261" t="s"/>
      <c r="G135" s="103" t="s"/>
    </row>
    <row r="136" spans="2:7">
      <c r="B136" s="261" t="s"/>
      <c r="C136" s="261" t="s"/>
      <c r="G136" s="103" t="s"/>
    </row>
    <row r="137" spans="2:7">
      <c r="B137" s="261" t="s"/>
      <c r="C137" s="261" t="s"/>
      <c r="G137" s="103" t="s"/>
    </row>
    <row r="138" spans="2:7">
      <c r="B138" s="261" t="s"/>
      <c r="C138" s="261" t="s"/>
      <c r="G138" s="103" t="s"/>
    </row>
    <row r="139" spans="2:7">
      <c r="B139" s="261" t="s"/>
      <c r="C139" s="261" t="s"/>
      <c r="G139" s="103" t="s"/>
    </row>
    <row r="140" spans="2:7">
      <c r="B140" s="261" t="s"/>
      <c r="C140" s="261" t="s"/>
      <c r="G140" s="103" t="s"/>
    </row>
    <row r="141" spans="2:7">
      <c r="B141" s="261" t="s"/>
      <c r="C141" s="261" t="s"/>
      <c r="G141" s="103" t="s"/>
    </row>
    <row r="142" spans="2:7">
      <c r="B142" s="261" t="s"/>
      <c r="C142" s="261" t="s"/>
      <c r="G142" s="103" t="s"/>
    </row>
    <row r="143" spans="2:7">
      <c r="B143" s="261" t="s"/>
      <c r="C143" s="261" t="s"/>
      <c r="G143" s="103" t="s"/>
    </row>
    <row r="144" spans="2:7">
      <c r="B144" s="261" t="s"/>
      <c r="C144" s="261" t="s"/>
      <c r="G144" s="103" t="s"/>
    </row>
    <row r="145" spans="2:7">
      <c r="B145" s="261" t="s"/>
      <c r="C145" s="261" t="s"/>
      <c r="G145" s="103" t="s"/>
    </row>
    <row r="146" spans="2:7">
      <c r="B146" s="261" t="s"/>
      <c r="C146" s="261" t="s"/>
      <c r="G146" s="103" t="s"/>
    </row>
    <row r="147" spans="2:7">
      <c r="B147" s="261" t="s"/>
      <c r="C147" s="261" t="s"/>
      <c r="G147" s="103" t="s"/>
    </row>
    <row r="148" spans="2:7">
      <c r="B148" s="261" t="s"/>
      <c r="C148" s="261" t="s"/>
      <c r="G148" s="103" t="s"/>
    </row>
    <row r="149" spans="2:7">
      <c r="B149" s="261" t="s"/>
      <c r="C149" s="261" t="s"/>
      <c r="G149" s="103" t="s"/>
    </row>
    <row r="150" spans="2:7">
      <c r="B150" s="261" t="s"/>
      <c r="C150" s="261" t="s"/>
      <c r="G150" s="103" t="s"/>
    </row>
    <row r="151" spans="2:7">
      <c r="B151" s="261" t="s"/>
      <c r="C151" s="261" t="s"/>
      <c r="G151" s="103" t="s"/>
    </row>
    <row r="152" spans="2:7">
      <c r="B152" s="261" t="s"/>
      <c r="C152" s="261" t="s"/>
      <c r="G152" s="103" t="s"/>
    </row>
    <row r="153" spans="2:7">
      <c r="B153" s="261" t="s"/>
      <c r="C153" s="261" t="s"/>
      <c r="G153" s="103" t="s"/>
    </row>
    <row r="154" spans="2:7">
      <c r="B154" s="261" t="s"/>
      <c r="C154" s="261" t="s"/>
      <c r="G154" s="103" t="s"/>
    </row>
    <row r="155" spans="2:7">
      <c r="B155" s="261" t="s"/>
      <c r="C155" s="261" t="s"/>
      <c r="G155" s="103" t="s"/>
    </row>
    <row r="156" spans="2:7">
      <c r="B156" s="261" t="s"/>
      <c r="C156" s="261" t="s"/>
      <c r="G156" s="103" t="s"/>
    </row>
    <row r="157" spans="2:7">
      <c r="B157" s="261" t="s"/>
      <c r="C157" s="261" t="s"/>
      <c r="G157" s="103" t="s"/>
    </row>
    <row r="158" spans="2:7">
      <c r="B158" s="261" t="s"/>
      <c r="C158" s="261" t="s"/>
      <c r="G158" s="103" t="s"/>
    </row>
    <row r="159" spans="2:7">
      <c r="B159" s="261" t="s"/>
      <c r="C159" s="261" t="s"/>
      <c r="G159" s="103" t="s"/>
    </row>
    <row r="160" spans="2:7">
      <c r="B160" s="261" t="s"/>
      <c r="C160" s="261" t="s"/>
      <c r="G160" s="103" t="s"/>
    </row>
    <row r="161" spans="2:7">
      <c r="B161" s="261" t="s"/>
      <c r="C161" s="261" t="s"/>
      <c r="G161" s="103" t="s"/>
    </row>
    <row r="162" spans="2:7">
      <c r="B162" s="261" t="s"/>
      <c r="C162" s="261" t="s"/>
      <c r="G162" s="103" t="s"/>
    </row>
    <row r="163" spans="2:7">
      <c r="B163" s="261" t="s"/>
      <c r="C163" s="261" t="s"/>
      <c r="G163" s="103" t="s"/>
    </row>
    <row r="164" spans="2:7">
      <c r="B164" s="261" t="s"/>
      <c r="C164" s="261" t="s"/>
      <c r="G164" s="103" t="s"/>
    </row>
    <row r="165" spans="2:7">
      <c r="B165" s="261" t="s"/>
      <c r="C165" s="261" t="s"/>
      <c r="G165" s="103" t="s"/>
    </row>
    <row r="166" spans="2:7">
      <c r="B166" s="261" t="s"/>
      <c r="C166" s="261" t="s"/>
      <c r="G166" s="103" t="s"/>
    </row>
    <row r="167" spans="2:7">
      <c r="B167" s="261" t="s"/>
      <c r="C167" s="261" t="s"/>
      <c r="G167" s="103" t="s"/>
    </row>
    <row r="168" spans="2:7">
      <c r="B168" s="261" t="s"/>
      <c r="C168" s="261" t="s"/>
      <c r="G168" s="103" t="s"/>
    </row>
    <row r="169" spans="2:7">
      <c r="B169" s="261" t="s"/>
      <c r="C169" s="261" t="s"/>
      <c r="G169" s="103" t="s"/>
    </row>
    <row r="170" spans="2:7">
      <c r="B170" s="261" t="s"/>
      <c r="C170" s="261" t="s"/>
      <c r="G170" s="103" t="s"/>
    </row>
    <row r="171" spans="2:7">
      <c r="B171" s="261" t="s"/>
      <c r="C171" s="261" t="s"/>
      <c r="G171" s="103" t="s"/>
    </row>
    <row r="172" spans="2:7">
      <c r="B172" s="261" t="s"/>
      <c r="C172" s="261" t="s"/>
      <c r="G172" s="103" t="s"/>
    </row>
    <row r="173" spans="2:7">
      <c r="B173" s="261" t="s"/>
      <c r="C173" s="261" t="s"/>
      <c r="G173" s="103" t="s"/>
    </row>
    <row r="174" spans="2:7">
      <c r="B174" s="261" t="s"/>
      <c r="C174" s="261" t="s"/>
      <c r="G174" s="103" t="s"/>
    </row>
    <row r="175" spans="2:7">
      <c r="B175" s="261" t="s"/>
      <c r="C175" s="261" t="s"/>
      <c r="G175" s="103" t="s"/>
    </row>
    <row r="176" spans="2:7">
      <c r="B176" s="261" t="s"/>
      <c r="C176" s="261" t="s"/>
      <c r="G176" s="103" t="s"/>
    </row>
    <row r="177" spans="2:7">
      <c r="B177" s="261" t="s"/>
      <c r="C177" s="261" t="s"/>
      <c r="G177" s="103" t="s"/>
    </row>
    <row r="178" spans="2:7">
      <c r="B178" s="261" t="s"/>
      <c r="C178" s="261" t="s"/>
      <c r="G178" s="103" t="s"/>
    </row>
    <row r="179" spans="2:7">
      <c r="B179" s="261" t="s"/>
      <c r="C179" s="261" t="s"/>
      <c r="G179" s="103" t="s"/>
    </row>
    <row r="180" spans="2:7">
      <c r="B180" s="261" t="s"/>
      <c r="C180" s="261" t="s"/>
      <c r="G180" s="103" t="s"/>
    </row>
    <row r="181" spans="2:7">
      <c r="B181" s="261" t="s"/>
      <c r="C181" s="261" t="s"/>
      <c r="G181" s="103" t="s"/>
    </row>
    <row r="182" spans="2:7">
      <c r="B182" s="261" t="s"/>
      <c r="C182" s="261" t="s"/>
      <c r="G182" s="103" t="s"/>
    </row>
    <row r="183" spans="2:7">
      <c r="B183" s="261" t="s"/>
      <c r="C183" s="261" t="s"/>
      <c r="G183" s="103" t="s"/>
    </row>
    <row r="184" spans="2:7">
      <c r="B184" s="261" t="s"/>
      <c r="C184" s="261" t="s"/>
      <c r="G184" s="103" t="s"/>
    </row>
    <row r="185" spans="2:7">
      <c r="B185" s="261" t="s"/>
      <c r="C185" s="261" t="s"/>
      <c r="G185" s="103" t="s"/>
    </row>
    <row r="186" spans="2:7">
      <c r="B186" s="261" t="s"/>
      <c r="C186" s="261" t="s"/>
      <c r="G186" s="103" t="s"/>
    </row>
    <row r="187" spans="2:7">
      <c r="B187" s="261" t="s"/>
      <c r="C187" s="261" t="s"/>
      <c r="G187" s="103" t="s"/>
    </row>
    <row r="188" spans="2:7">
      <c r="B188" s="261" t="s"/>
      <c r="C188" s="261" t="s"/>
      <c r="G188" s="103" t="s"/>
    </row>
    <row r="189" spans="2:7">
      <c r="B189" s="261" t="s"/>
      <c r="C189" s="261" t="s"/>
      <c r="G189" s="103" t="s"/>
    </row>
    <row r="190" spans="2:7">
      <c r="B190" s="261" t="s"/>
      <c r="C190" s="261" t="s"/>
      <c r="G190" s="103" t="s"/>
    </row>
    <row r="191" spans="2:7">
      <c r="B191" s="261" t="s"/>
      <c r="C191" s="261" t="s"/>
      <c r="G191" s="103" t="s"/>
    </row>
    <row r="192" spans="2:7">
      <c r="B192" s="261" t="s"/>
      <c r="C192" s="261" t="s"/>
      <c r="G192" s="103" t="s"/>
    </row>
    <row r="193" spans="2:7">
      <c r="B193" s="261" t="s"/>
      <c r="C193" s="261" t="s"/>
      <c r="G193" s="103" t="s"/>
    </row>
    <row r="194" spans="2:7">
      <c r="B194" s="261" t="s"/>
      <c r="C194" s="261" t="s"/>
      <c r="G194" s="103" t="s"/>
    </row>
    <row r="195" spans="2:7">
      <c r="B195" s="261" t="s"/>
      <c r="C195" s="261" t="s"/>
      <c r="G195" s="103" t="s"/>
    </row>
    <row r="196" spans="2:7">
      <c r="B196" s="261" t="s"/>
      <c r="C196" s="261" t="s"/>
      <c r="G196" s="103" t="s"/>
    </row>
    <row r="197" spans="2:7">
      <c r="B197" s="261" t="s"/>
      <c r="C197" s="261" t="s"/>
      <c r="G197" s="103" t="s"/>
    </row>
    <row r="198" spans="2:7">
      <c r="B198" s="261" t="s"/>
      <c r="C198" s="261" t="s"/>
      <c r="G198" s="103" t="s"/>
    </row>
    <row r="199" spans="2:7">
      <c r="B199" s="261" t="s"/>
      <c r="C199" s="261" t="s"/>
      <c r="G199" s="103" t="s"/>
    </row>
    <row r="200" spans="2:7">
      <c r="B200" s="261" t="s"/>
      <c r="C200" s="261" t="s"/>
      <c r="G200" s="103" t="s"/>
    </row>
    <row r="201" spans="2:7">
      <c r="B201" s="261" t="s"/>
      <c r="C201" s="261" t="s"/>
      <c r="G201" s="103" t="s"/>
    </row>
    <row r="202" spans="2:7">
      <c r="B202" s="261" t="s"/>
      <c r="C202" s="261" t="s"/>
      <c r="G202" s="103" t="s"/>
    </row>
    <row r="203" spans="2:7">
      <c r="B203" s="261" t="s"/>
      <c r="C203" s="261" t="s"/>
      <c r="G203" s="103" t="s"/>
    </row>
    <row r="204" spans="2:7">
      <c r="B204" s="261" t="s"/>
      <c r="C204" s="261" t="s"/>
      <c r="G204" s="103" t="s"/>
    </row>
    <row r="205" spans="2:7">
      <c r="B205" s="261" t="s"/>
      <c r="C205" s="261" t="s"/>
      <c r="G205" s="103" t="s"/>
    </row>
    <row r="206" spans="2:7">
      <c r="B206" s="261" t="s"/>
      <c r="C206" s="261" t="s"/>
      <c r="G206" s="103" t="s"/>
    </row>
    <row r="207" spans="2:7">
      <c r="B207" s="261" t="s"/>
      <c r="C207" s="261" t="s"/>
      <c r="G207" s="103" t="s"/>
    </row>
    <row r="208" spans="2:7">
      <c r="B208" s="261" t="s"/>
      <c r="C208" s="261" t="s"/>
      <c r="G208" s="103" t="s"/>
    </row>
    <row r="209" spans="2:7">
      <c r="B209" s="261" t="s"/>
      <c r="C209" s="261" t="s"/>
      <c r="G209" s="103" t="s"/>
    </row>
    <row r="210" spans="2:7">
      <c r="B210" s="261" t="s"/>
      <c r="C210" s="261" t="s"/>
      <c r="G210" s="103" t="s"/>
    </row>
    <row r="211" spans="2:7">
      <c r="B211" s="261" t="s"/>
      <c r="C211" s="261" t="s"/>
      <c r="G211" s="103" t="s"/>
    </row>
    <row r="212" spans="2:7">
      <c r="B212" s="261" t="s"/>
      <c r="C212" s="261" t="s"/>
      <c r="G212" s="103" t="s"/>
    </row>
    <row r="213" spans="2:7">
      <c r="B213" s="261" t="s"/>
      <c r="C213" s="261" t="s"/>
      <c r="G213" s="103" t="s"/>
    </row>
    <row r="214" spans="2:7">
      <c r="B214" s="261" t="s"/>
      <c r="C214" s="261" t="s"/>
      <c r="G214" s="103" t="s"/>
    </row>
    <row r="215" spans="2:7">
      <c r="B215" s="261" t="s"/>
      <c r="C215" s="261" t="s"/>
      <c r="G215" s="103" t="s"/>
    </row>
    <row r="216" spans="2:7">
      <c r="B216" s="261" t="s"/>
      <c r="C216" s="261" t="s"/>
      <c r="G216" s="103" t="s"/>
    </row>
    <row r="217" spans="2:7">
      <c r="B217" s="261" t="s"/>
      <c r="C217" s="261" t="s"/>
      <c r="G217" s="103" t="s"/>
    </row>
    <row r="218" spans="2:7">
      <c r="B218" s="261" t="s"/>
      <c r="C218" s="261" t="s"/>
      <c r="G218" s="103" t="s"/>
    </row>
    <row r="219" spans="2:7">
      <c r="B219" s="261" t="s"/>
      <c r="C219" s="261" t="s"/>
      <c r="G219" s="103" t="s"/>
    </row>
    <row r="220" spans="2:7">
      <c r="B220" s="261" t="s"/>
      <c r="C220" s="261" t="s"/>
      <c r="G220" s="103" t="s"/>
    </row>
    <row r="221" spans="2:7">
      <c r="B221" s="261" t="s"/>
      <c r="C221" s="261" t="s"/>
      <c r="G221" s="103" t="s"/>
    </row>
    <row r="222" spans="2:7">
      <c r="B222" s="261" t="s"/>
      <c r="C222" s="261" t="s"/>
      <c r="G222" s="103" t="s"/>
    </row>
    <row r="223" spans="2:7">
      <c r="B223" s="261" t="s"/>
      <c r="C223" s="261" t="s"/>
      <c r="G223" s="103" t="s"/>
    </row>
    <row r="224" spans="2:7">
      <c r="B224" s="261" t="s"/>
      <c r="C224" s="261" t="s"/>
      <c r="G224" s="103" t="s"/>
    </row>
    <row r="225" spans="2:7">
      <c r="B225" s="261" t="s"/>
      <c r="C225" s="261" t="s"/>
      <c r="G225" s="103" t="s"/>
    </row>
    <row r="226" spans="2:7">
      <c r="B226" s="261" t="s"/>
      <c r="C226" s="261" t="s"/>
      <c r="G226" s="103" t="s"/>
    </row>
    <row r="227" spans="2:7">
      <c r="B227" s="261" t="s"/>
      <c r="C227" s="261" t="s"/>
      <c r="G227" s="103" t="s"/>
    </row>
    <row r="228" spans="2:7">
      <c r="B228" s="261" t="s"/>
      <c r="C228" s="261" t="s"/>
      <c r="G228" s="103" t="s"/>
    </row>
    <row r="229" spans="2:7">
      <c r="B229" s="261" t="s"/>
      <c r="C229" s="261" t="s"/>
      <c r="G229" s="103" t="s"/>
    </row>
    <row r="230" spans="2:7">
      <c r="B230" s="261" t="s"/>
      <c r="C230" s="261" t="s"/>
      <c r="G230" s="103" t="s"/>
    </row>
    <row r="231" spans="2:7">
      <c r="B231" s="261" t="s"/>
      <c r="C231" s="261" t="s"/>
      <c r="G231" s="103" t="s"/>
    </row>
    <row r="232" spans="2:7">
      <c r="B232" s="261" t="s"/>
      <c r="C232" s="261" t="s"/>
      <c r="G232" s="103" t="s"/>
    </row>
    <row r="233" spans="2:7">
      <c r="B233" s="261" t="s"/>
      <c r="C233" s="261" t="s"/>
      <c r="G233" s="103" t="s"/>
    </row>
    <row r="234" spans="2:7">
      <c r="B234" s="261" t="s"/>
      <c r="C234" s="261" t="s"/>
      <c r="G234" s="103" t="s"/>
    </row>
    <row r="235" spans="2:7">
      <c r="B235" s="261" t="s"/>
      <c r="C235" s="261" t="s"/>
      <c r="G235" s="103" t="s"/>
    </row>
    <row r="236" spans="2:7">
      <c r="B236" s="261" t="s"/>
      <c r="C236" s="261" t="s"/>
      <c r="G236" s="103" t="s"/>
    </row>
    <row r="237" spans="2:7">
      <c r="B237" s="261" t="s"/>
      <c r="C237" s="261" t="s"/>
      <c r="G237" s="103" t="s"/>
    </row>
    <row r="238" spans="2:7">
      <c r="B238" s="261" t="s"/>
      <c r="C238" s="261" t="s"/>
      <c r="G238" s="103" t="s"/>
    </row>
    <row r="239" spans="2:7">
      <c r="B239" s="261" t="s"/>
      <c r="C239" s="261" t="s"/>
      <c r="G239" s="103" t="s"/>
    </row>
    <row r="240" spans="2:7">
      <c r="B240" s="261" t="s"/>
      <c r="C240" s="261" t="s"/>
      <c r="G240" s="103" t="s"/>
    </row>
    <row r="241" spans="2:7">
      <c r="B241" s="261" t="s"/>
      <c r="C241" s="261" t="s"/>
      <c r="G241" s="103" t="s"/>
    </row>
    <row r="242" spans="2:7">
      <c r="B242" s="261" t="s"/>
      <c r="C242" s="261" t="s"/>
      <c r="G242" s="103" t="s"/>
    </row>
    <row r="243" spans="2:7">
      <c r="B243" s="261" t="s"/>
      <c r="C243" s="261" t="s"/>
      <c r="G243" s="103" t="s"/>
    </row>
    <row r="244" spans="2:7">
      <c r="B244" s="261" t="s"/>
      <c r="C244" s="261" t="s"/>
      <c r="G244" s="103" t="s"/>
    </row>
    <row r="245" spans="2:7">
      <c r="B245" s="261" t="s"/>
      <c r="C245" s="261" t="s"/>
      <c r="G245" s="103" t="s"/>
    </row>
    <row r="246" spans="2:7">
      <c r="B246" s="261" t="s"/>
      <c r="C246" s="261" t="s"/>
      <c r="G246" s="103" t="s"/>
    </row>
    <row r="247" spans="2:7">
      <c r="B247" s="261" t="s"/>
      <c r="C247" s="261" t="s"/>
      <c r="G247" s="103" t="s"/>
    </row>
    <row r="248" spans="2:7">
      <c r="B248" s="261" t="s"/>
      <c r="C248" s="261" t="s"/>
      <c r="G248" s="103" t="s"/>
    </row>
    <row r="249" spans="2:7">
      <c r="B249" s="261" t="s"/>
      <c r="C249" s="261" t="s"/>
      <c r="G249" s="103" t="s"/>
    </row>
    <row r="250" spans="2:23">
      <c r="B250" s="261" t="s"/>
      <c r="C250" s="261" t="s"/>
      <c r="E250" s="89" t="s">
        <v>26</v>
      </c>
      <c r="G250" s="103" t="s"/>
      <c r="R250" s="92" t="s"/>
      <c r="S250" s="92" t="s"/>
      <c r="T250" s="92" t="s"/>
      <c r="V250" s="262" t="s"/>
      <c r="W250" s="263" t="s"/>
    </row>
    <row r="251" spans="2:23">
      <c r="B251" s="261" t="s"/>
      <c r="C251" s="261" t="s"/>
      <c r="E251" s="89" t="s">
        <v>26</v>
      </c>
      <c r="G251" s="103" t="s"/>
      <c r="R251" s="92" t="s">
        <v>26</v>
      </c>
      <c r="S251" s="92" t="s">
        <v>26</v>
      </c>
      <c r="T251" s="92">
        <v>292801774</v>
      </c>
      <c r="V251" s="262" t="s"/>
      <c r="W251" s="263" t="s"/>
    </row>
    <row r="252" spans="2:23">
      <c r="B252" s="261" t="s"/>
      <c r="C252" s="261" t="s"/>
      <c r="E252" s="89" t="s">
        <v>26</v>
      </c>
      <c r="G252" s="103" t="s"/>
      <c r="R252" s="125" t="s">
        <v>26</v>
      </c>
      <c r="S252" s="125" t="s">
        <v>26</v>
      </c>
      <c r="T252" s="92" t="s">
        <v>26</v>
      </c>
      <c r="V252" s="262" t="s"/>
      <c r="W252" s="263" t="s"/>
    </row>
  </sheetData>
  <mergeCells count="65">
    <mergeCell ref="A3:A6"/>
    <mergeCell ref="A28:A32"/>
    <mergeCell ref="D3:D6"/>
    <mergeCell ref="D28:D32"/>
    <mergeCell ref="J28:J32"/>
    <mergeCell ref="A16:A19"/>
    <mergeCell ref="A9:A10"/>
    <mergeCell ref="D9:D10"/>
    <mergeCell ref="D16:D19"/>
    <mergeCell ref="A33:A35"/>
    <mergeCell ref="A36:A39"/>
    <mergeCell ref="D33:D35"/>
    <mergeCell ref="D36:D39"/>
    <mergeCell ref="J33:J35"/>
    <mergeCell ref="J36:J39"/>
    <mergeCell ref="A59:A64"/>
    <mergeCell ref="D59:D64"/>
    <mergeCell ref="U47:U48"/>
    <mergeCell ref="U49:U52"/>
    <mergeCell ref="U54:U55"/>
    <mergeCell ref="U57:U58"/>
    <mergeCell ref="E47:E48"/>
    <mergeCell ref="E49:E52"/>
    <mergeCell ref="E54:E55"/>
    <mergeCell ref="E57:E58"/>
    <mergeCell ref="J59:J64"/>
    <mergeCell ref="J47:J58"/>
    <mergeCell ref="D47:D58"/>
    <mergeCell ref="A47:A58"/>
    <mergeCell ref="A40:A44"/>
    <mergeCell ref="D40:D44"/>
    <mergeCell ref="J40:J44"/>
    <mergeCell ref="P1:R1"/>
    <mergeCell ref="L1:O1"/>
    <mergeCell ref="D71:D77"/>
    <mergeCell ref="A71:A77"/>
    <mergeCell ref="U71:U77"/>
    <mergeCell ref="U59:U64"/>
    <mergeCell ref="U28:U32"/>
    <mergeCell ref="A81:A83"/>
    <mergeCell ref="D81:D83"/>
    <mergeCell ref="A84:A87"/>
    <mergeCell ref="D84:D87"/>
    <mergeCell ref="U84:U87"/>
    <mergeCell ref="I96:I103"/>
    <mergeCell ref="D96:D100"/>
    <mergeCell ref="A96:A100"/>
    <mergeCell ref="D94:D95"/>
    <mergeCell ref="A94:A95"/>
    <mergeCell ref="U96:U100"/>
    <mergeCell ref="U94:U95"/>
    <mergeCell ref="J71:J77"/>
    <mergeCell ref="J84:J87"/>
    <mergeCell ref="J81:J83"/>
    <mergeCell ref="J95:J100"/>
    <mergeCell ref="A78:A79"/>
    <mergeCell ref="U78:U79"/>
    <mergeCell ref="U69:U70"/>
    <mergeCell ref="D69:D70"/>
    <mergeCell ref="A69:A70"/>
    <mergeCell ref="A1:C1"/>
    <mergeCell ref="D1:E1"/>
    <mergeCell ref="U104:U109"/>
    <mergeCell ref="A104:A109"/>
    <mergeCell ref="D104:D109"/>
  </mergeCells>
  <dataValidations>
    <dataValidation type="list" errorStyle="stop" allowBlank="true" showDropDown="false" showInputMessage="true" showErrorMessage="true" prompt="" sqref="G3:G1048576">
      <formula1>"待确认,低,中,高,"</formula1>
      <formula2/>
    </dataValidation>
    <dataValidation type="list" errorStyle="stop" allowBlank="true" showDropDown="false" showInputMessage="true" showErrorMessage="true" prompt="" sqref="B3:B1048576">
      <formula1>"可下线,保留,异常任务,待确认,无法确定,已下线,"</formula1>
    </dataValidation>
    <dataValidation type="list" errorStyle="stop" allowBlank="true" showDropDown="false" showInputMessage="true" showErrorMessage="true" prompt="" sqref="C3:C1048576">
      <formula1>"刘俊,王绪寒,段宁强,肖扬,唐欢欢,王坤,刘树文,彭宜,明瞻,"</formula1>
    </dataValidation>
  </dataValidations>
  <hyperlinks>
    <hyperlink ref="U3" r:id="rId0" display="http://code.sangfor.org/SRI/SCIA/warehouse/soapa-logger-stream-prc/blob/master/app/soapa-logger-stream-prc/src/main/scala/com/sangfor/cloud/logger/conf/BaseConfig.scala"/>
    <hyperlink ref="U4" r:id="rId0" display="http://code.sangfor.org/SRI/SCIA/warehouse/soapa-logger-stream-prc/blob/master/app/soapa-logger-stream-prc/src/main/scala/com/sangfor/cloud/logger/conf/BaseConfig.scala"/>
    <hyperlink ref="U5" r:id="rId0" display="http://code.sangfor.org/SRI/SCIA/warehouse/soapa-logger-stream-prc/blob/master/app/soapa-logger-stream-prc/src/main/scala/com/sangfor/cloud/logger/conf/BaseConfig.scala"/>
    <hyperlink ref="U7" r:id="rId1" display="http://code.sangfor.org/SRI/SCIA/warehouse/secevent-to-hive-stream-prc/blob/master/start/start-sec2hive.sh"/>
    <hyperlink ref="U8" r:id="rId2" tooltip="http://code.sangfor.org/SRI/SCIA/devid/online-dev-warehousing-prc/blob/master/src/myapp/src/main/scala/com/sangfor/cloud/online/dev/warehouse/config/AppConfig.scala" display="http://code.sangfor.org/SRI/SCIA/devid/online-dev-warehousing-prc/blob/master/src/myapp/src/main/scala/com/sangfor/cloud/online/dev/warehouse/config/AppConfig.scala"/>
    <hyperlink ref="U9" r:id="rId3" display="http://code.sangfor.org/SRI/SCIA/YJ/cloud-display-manager-prc/blob/master/src/scala/cloud_detail_stream/src/com/sangfor/cloud_display/detail/conf/Settings.scala"/>
    <hyperlink ref="U10" r:id="rId4" display="http://code.sangfor.org/SRI/SCIA/YJ/cloud-display-manager-prc/blob/master/src/scala/cloud_statistic_stream/src/com/sangfor/cloud_display/statistic/conf/Settings.scala"/>
    <hyperlink ref="U11" r:id="rId5" display="http://code.sangfor.org/SRI/SCIA/devid/asset-discovery-task/blob/master/src/scala/asset-discovery-task/src/com/sangfor/assetdiscovery/dao/HiveUtil.scala"/>
    <hyperlink ref="U12" r:id="rId6"/>
    <hyperlink ref="U13" r:id="rId7" display="http://code.sangfor.org/SRI/SCIA/warehouse/secevent-to-hive-partition-pruned-cron-job/blob/master/src/scala/secevent-to-hive-partition-pruned-cron-job/com/sangfor/cloud/warehouse/partition_pruned/conf/Config.scala"/>
    <hyperlink ref="U14" r:id="rId8" display="http://code.sangfor.org/SRI/SCIA/oozie/oozie-sz/blob/master/src/scala/secevent-to-hive-batch/com/sangfor/cloud/secevent/batch/config/BaseConfig.scala"/>
    <hyperlink ref="U15" r:id="rId9" display="http://code.sangfor.org/SRI/SCIA/sync/sync-mongo2hive-job/blob/master/src2/scala/sync-mongo2hive/src/main/scala/com/sangfor/cloud/config/BaseConfig.scala"/>
    <hyperlink ref="U16" r:id="rId10" display="http://code.sangfor.org/SRI/SCIA/ATI/ati-relations-loader-job/blob/master/start-load2hive.sh"/>
    <hyperlink ref="U17" r:id="rId10" display="http://code.sangfor.org/SRI/SCIA/ATI/ati-relations-loader-job/blob/master/start-load2hive.sh"/>
    <hyperlink ref="U18" r:id="rId11" display="http://code.sangfor.org/SRI/SCIA/ATI/ati-relations-loader-job/blob/master/start-ioc-edges-cron-job.sh"/>
    <hyperlink ref="U19" r:id="rId12" display="http://code.sangfor.org/SRI/SCIA/ATI/ati-relations-loader-job/blob/master/start-ioc-tags-cron-job.sh"/>
    <hyperlink ref="U20" r:id="rId13" display="http://code.sangfor.org/SRI/SCIA/oozie/oozie-sz/blob/master/oozie_projects/jobs/ShenZhen/sodl_ods_info/config.xml"/>
    <hyperlink ref="U21" r:id="rId8" display="http://code.sangfor.org/SRI/SCIA/oozie/oozie-sz/blob/master/src/scala/secevent-to-hive-batch/com/sangfor/cloud/secevent/batch/config/BaseConfig.scala"/>
    <hyperlink ref="U22" r:id="rId14" display="http://code.sangfor.org/SRI/SCIA/oozie/oozie-sz/blob/master/oozie_projects/jobs/ShenZhen/sodl_dwb_info/config.xml"/>
    <hyperlink ref="U25" r:id="rId15" display="http://code.sangfor.org/SRI/SCIA/oozie/oozie-sz/blob/master/oozie_projects/jobs/ShenZhen/secevent_analyse/config.xml"/>
    <hyperlink ref="U27" r:id="rId16" tooltip="http://code.sangfor.org/SRI/SCIA/CIPD/DOMAIN/PRE/gnn-domain-hive-query-cronjob/blob/master/unittest/data/app_cfg.json" display="http://code.sangfor.org/SRI/SCIA/CIPD/DOMAIN/PRE/gnn-domain-hive-query-cronjob/blob/master/unittest/data/app_cfg.json"/>
    <hyperlink ref="U28" r:id="rId17" display="http://code.sangfor.org/SRI/SCIA/analysis/dashboard-stats-job/blob/master/app-sdk/soapa-sangfor-lib/python/common/sql.py"/>
    <hyperlink ref="U33" r:id="rId18" display="http://code.sangfor.org/SRI/SCIA/oozie/oozie-sz/blob/master/oozie_projects/jobs/ShenZhen/topthreat_hot_stat/code/black_file_stat.yaml"/>
    <hyperlink ref="U34" r:id="rId19" display="http://code.sangfor.org/SRI/SCIA/oozie/oozie-sz/blob/master/oozie_projects/jobs/ShenZhen/topthreat_hot_stat/code/blcak_url_stat.yaml"/>
    <hyperlink ref="U35" r:id="rId20" display="http://code.sangfor.org/SRI/SCIA/oozie/oozie-sz/blob/master/oozie_projects/jobs/ShenZhen/topthreat_hot_stat/code/black_domain_stat.yaml"/>
    <hyperlink ref="U36" r:id="rId21" tooltip="http://code.sangfor.org/SRI/SCIA/oozie/oozie-sz/blob/master/oozie_projects/jobs/ShenZhen/sodl_dwb_info/code/dwb/dwb_sodl_domain_info.sql" display="http://code.sangfor.org/SRI/SCIA/oozie/oozie-sz/blob/master/oozie_projects/jobs/ShenZhen/sodl_dwb_info/code/dwb/dwb_sodl_domain_info.sql"/>
    <hyperlink ref="U37" r:id="rId22" tooltip="http://code.sangfor.org/SRI/SCIA/oozie/oozie-sz/blob/master/oozie_projects/jobs/ShenZhen/sodl_dwb_info/code/dwb/dwb_sodl_ip_info.sql" display="http://code.sangfor.org/SRI/SCIA/oozie/oozie-sz/blob/master/oozie_projects/jobs/ShenZhen/sodl_dwb_info/code/dwb/dwb_sodl_ip_info.sql"/>
    <hyperlink ref="U38" r:id="rId23" tooltip="http://code.sangfor.org/SRI/SCIA/oozie/oozie-sz/blob/master/oozie_projects/jobs/ShenZhen/sodl_dwb_info/code/dwb/dwb_sodl_md5_info.sql" display="http://code.sangfor.org/SRI/SCIA/oozie/oozie-sz/blob/master/oozie_projects/jobs/ShenZhen/sodl_dwb_info/code/dwb/dwb_sodl_md5_info.sql"/>
    <hyperlink ref="U39" r:id="rId24" display="http://code.sangfor.org/SRI/SCIA/oozie/oozie-sz/blob/master/oozie_projects/jobs/ShenZhen/sodl_dwb_info/code/dwb/dwb_sodl_url_info.sql"/>
    <hyperlink ref="U40" r:id="rId25" tooltip="http://code.sangfor.org/SRI/SCIA/oozie/oozie-sz/blob/master/oozie_projects/jobs/ShenZhen/log_compress/code/insert_audit.sql" display="http://code.sangfor.org/SRI/SCIA/oozie/oozie-sz/blob/master/oozie_projects/jobs/ShenZhen/log_compress/code/insert_audit.sql"/>
    <hyperlink ref="U41" r:id="rId26" display="http://code.sangfor.org/SRI/SCIA/oozie/oozie-sz/blob/master/oozie_projects/jobs/ShenZhen/log_compress/code/insert_stats.sql"/>
    <hyperlink ref="U42" r:id="rId27"/>
    <hyperlink ref="U43" r:id="rId28"/>
    <hyperlink ref="U44" r:id="rId29"/>
    <hyperlink ref="U45" r:id="rId30" display="http://code.sangfor.org/SRI/SCIA/TIBFE/thug-task-monitor-prc/blob/master/hive_source/hive_feed.py"/>
    <hyperlink ref="U46" r:id="rId31" display="http://code.sangfor.org/SRI/SCIA/FRAME/assembly-workshop/blob/master/default/ati-pdns-cache-job/app-cfg/ShenZhen-default/config.json"/>
    <hyperlink ref="U47" r:id="rId32" display="http://code.sangfor.org/SRI/SCIA/TIBAE/attack-ip-analysis-cronjob/blob/master/app-sdk/soapa-sangfor-lib/python/attack_ip_wiki_related_analysis/filter_log/constant.py"/>
    <hyperlink ref="U49" r:id="rId33" display="http://code.sangfor.org/SRI/SCIA/TIBAE/attack-ip-analysis-cronjob/blob/master/app-sdk/soapa-sangfor-lib/python/attack_ip_af_rule_analysis/filter_log/constant.py"/>
    <hyperlink ref="U53" r:id="rId34" tooltip="http://code.sangfor.org/SRI/SCIA/TIBAE/attack-ip-analysis-cronjob/blob/master/app-sdk/soapa-sangfor-lib/python/attack_ip_af_skyeye_analysis/filter_log/constant.py" display="http://code.sangfor.org/SRI/SCIA/TIBAE/attack-ip-analysis-cronjob/blob/master/app-sdk/soapa-sangfor-lib/python/attack_ip_af_skyeye_analysis/filter_log/constant.py"/>
    <hyperlink ref="U54" r:id="rId35" tooltip="http://code.sangfor.org/SRI/SCIA/TIBAE/attack-ip-analysis-cronjob/blob/master/app-sdk/soapa-sangfor-lib/python/attack_ip_seclog_analysis/filter_log/constant.py" display="http://code.sangfor.org/SRI/SCIA/TIBAE/attack-ip-analysis-cronjob/blob/master/app-sdk/soapa-sangfor-lib/python/attack_ip_seclog_analysis/filter_log/constant.py"/>
    <hyperlink ref="U56" r:id="rId36" display="http://code.sangfor.org/SRI/SCIA/TIBAE/attack-ip-analysis-cronjob/blob/master/app-sdk/soapa-sangfor-lib/python/attack_ip_low_trusted_analysis/filter_log/constant.py"/>
    <hyperlink ref="U57" r:id="rId37" tooltip="http://code.sangfor.org/SRI/SCIA/TIBAE/attack-ip-analysis-cronjob/blob/master/app-sdk/soapa-sangfor-lib/python/low_attack_type_ip_analysis/filter_log/constant.py" display="http://code.sangfor.org/SRI/SCIA/TIBAE/attack-ip-analysis-cronjob/blob/master/app-sdk/soapa-sangfor-lib/python/low_attack_type_ip_analysis/filter_log/constant.py"/>
    <hyperlink ref="U59" r:id="rId38" display="http://code.sangfor.org/SRI/SCIA/CIPD/BDPD/top-visit-host-produce-job/blob/master/app-sdk/soapa-sangfor-lib/python/data_etl/log_stat_sql.py"/>
    <hyperlink ref="U65" r:id="rId39" display="http://code.sangfor.org/SRI/SCIA/ATI/IOC-PRODUCT/domain-hit-devnum-cronjob/blob/master/unittest/data/app_cfg.json"/>
    <hyperlink ref="U66" r:id="rId40" display="http://code.sangfor.org/SRI/SCIA/CIPD/IP/filter-layout-ip-seg-stat-prc"/>
    <hyperlink ref="U67" r:id="rId41" display="http://code.sangfor.org/SRI/SCIA/vuln/svd-activity-stat-job/blob/master/app-sdk/soapa-sangfor-lib/python/rule_activity_statistics/config.py"/>
    <hyperlink ref="U68" r:id="rId42" display="http://code.sangfor.org/SRI/SCIA/FCC/black-file-clean-cronjob/blob/master/cron-job/black_file_clean/statistic.py"/>
    <hyperlink ref="U69" r:id="rId43" display="http://code.sangfor.org/SRI/SCIA/CIPD/DOMAIN/PRE/domain-security-log-etl-prc/blob/master/app-sdk/soapa-sangfor-lib/python/configs/config.py"/>
    <hyperlink ref="U71" r:id="rId44"/>
    <hyperlink ref="U78" r:id="rId45"/>
    <hyperlink ref="U80" r:id="rId46"/>
    <hyperlink ref="U81" r:id="rId47"/>
    <hyperlink ref="U82" r:id="rId48"/>
    <hyperlink ref="U83" r:id="rId48"/>
    <hyperlink ref="U84" r:id="rId49"/>
    <hyperlink ref="U88" r:id="rId50"/>
    <hyperlink ref="U89" r:id="rId51"/>
    <hyperlink ref="U90" r:id="rId52"/>
    <hyperlink ref="U91" r:id="rId53"/>
    <hyperlink ref="U92" r:id="rId54"/>
    <hyperlink ref="U94" r:id="rId55"/>
    <hyperlink ref="U96" r:id="rId56"/>
    <hyperlink ref="U101" r:id="rId57"/>
    <hyperlink ref="U102" r:id="rId57"/>
    <hyperlink ref="U103" r:id="rId57"/>
    <hyperlink ref="U104" r:id="rId13"/>
    <hyperlink ref="U111" r:id="rId58"/>
    <hyperlink ref="U112" r:id="rId59"/>
  </hyperlinks>
</worksheet>
</file>

<file path=xl/worksheets/sheet2.xml><?xml version="1.0" encoding="utf-8"?>
<worksheet xmlns="http://schemas.openxmlformats.org/spreadsheetml/2006/main">
  <sheetPr codeName="运营数据湖"/>
  <dimension ref="B2"/>
  <sheetViews>
    <sheetView showGridLines="true" workbookViewId="0"/>
  </sheetViews>
  <sheetFormatPr baseColWidth="13" defaultRowHeight="18" customHeight="true"/>
  <sheetData>
    <row r="1" spans="2:2">
      <c r="B1" t="s">
        <v>456</v>
      </c>
    </row>
    <row r="2" spans="2:2">
      <c r="B2" t="s">
        <v>457</v>
      </c>
    </row>
  </sheetData>
</worksheet>
</file>

<file path=xl/worksheets/sheet3.xml><?xml version="1.0" encoding="utf-8"?>
<worksheet xmlns="http://schemas.openxmlformats.org/spreadsheetml/2006/main">
  <sheetPr codeName="项目数据来源及输出">
    <tabColor/>
  </sheetPr>
  <dimension ref="H201"/>
  <sheetViews>
    <sheetView showGridLines="true" workbookViewId="0"/>
  </sheetViews>
  <sheetFormatPr baseColWidth="13" defaultRowHeight="18" customHeight="true" outlineLevelRow="0"/>
  <cols>
    <col min="1" max="1" width="33.7109" customWidth="true"/>
    <col min="2" max="2" width="67.7109" customWidth="true"/>
    <col min="3" max="3" width="35.7109" customWidth="true"/>
    <col min="4" max="4" width="31.0312" hidden="true" customWidth="true"/>
    <col min="5" max="5" width="13.7109" customWidth="true"/>
    <col min="6" max="7" width="13.7109" customWidth="true"/>
    <col min="8" max="8" width="13.7109" customWidth="true"/>
    <col min="9" max="25" width="13.7109" customWidth="true"/>
  </cols>
  <sheetData>
    <row r="1" spans="1:25" s="295" customFormat="true">
      <c r="A1" s="265" t="s">
        <v>493</v>
      </c>
      <c r="B1" s="265" t="s">
        <v>494</v>
      </c>
      <c r="C1" s="266" t="s">
        <v>495</v>
      </c>
      <c r="D1" s="266" t="s"/>
      <c r="E1" s="266" t="s">
        <v>496</v>
      </c>
      <c r="F1" s="266" t="s">
        <v>497</v>
      </c>
      <c r="G1" s="266" t="s">
        <v>17</v>
      </c>
      <c r="H1" s="266" t="s">
        <v>498</v>
      </c>
      <c r="I1" s="266" t="s"/>
      <c r="J1" s="266" t="s"/>
      <c r="K1" s="266" t="s"/>
      <c r="L1" s="266" t="s"/>
      <c r="M1" s="266" t="s"/>
      <c r="N1" s="266" t="s"/>
      <c r="O1" s="266" t="s"/>
      <c r="P1" s="266" t="s"/>
      <c r="Q1" s="266" t="s"/>
      <c r="R1" s="266" t="s"/>
      <c r="S1" s="266" t="s"/>
      <c r="T1" s="266" t="s"/>
      <c r="U1" s="266" t="s"/>
      <c r="V1" s="266" t="s"/>
      <c r="W1" s="266" t="s"/>
      <c r="X1" s="266" t="s"/>
      <c r="Y1" s="266" t="s"/>
    </row>
    <row r="2" spans="1:25" s="296" customFormat="true">
      <c r="A2" s="267" t="s">
        <v>399</v>
      </c>
      <c r="B2" s="267" t="s">
        <v>562</v>
      </c>
      <c r="C2" s="268" t="s">
        <v>499</v>
      </c>
      <c r="D2" s="269" t="s">
        <v>499</v>
      </c>
      <c r="E2" s="269" t="s"/>
      <c r="F2" s="269" t="s"/>
      <c r="G2" s="269" t="s"/>
      <c r="H2" s="269" t="s"/>
      <c r="I2" s="269" t="s"/>
      <c r="J2" s="269" t="s"/>
      <c r="K2" s="269" t="s"/>
      <c r="L2" s="269" t="s"/>
      <c r="M2" s="269" t="s"/>
      <c r="N2" s="269" t="s"/>
      <c r="O2" s="269" t="s"/>
      <c r="P2" s="269" t="s"/>
      <c r="Q2" s="269" t="s"/>
      <c r="R2" s="269" t="s"/>
      <c r="S2" s="269" t="s"/>
      <c r="T2" s="269" t="s"/>
      <c r="U2" s="269" t="s"/>
      <c r="V2" s="269" t="s"/>
      <c r="W2" s="269" t="s"/>
      <c r="X2" s="269" t="s"/>
      <c r="Y2" s="269" t="s"/>
    </row>
    <row r="3" spans="1:25">
      <c r="A3" s="270" t="s">
        <v>356</v>
      </c>
      <c r="B3" s="270" t="s">
        <v>563</v>
      </c>
      <c r="C3" s="271" t="s">
        <v>499</v>
      </c>
      <c r="D3" s="272" t="s">
        <v>499</v>
      </c>
      <c r="E3" s="272" t="s">
        <v>50</v>
      </c>
      <c r="F3" s="272" t="s">
        <v>21</v>
      </c>
      <c r="G3" s="272" t="s">
        <v>500</v>
      </c>
      <c r="H3" s="272" t="s"/>
      <c r="I3" s="272" t="s"/>
      <c r="J3" s="272" t="s"/>
      <c r="K3" s="272" t="s"/>
      <c r="L3" s="272" t="s"/>
      <c r="M3" s="272" t="s"/>
      <c r="N3" s="272" t="s"/>
      <c r="O3" s="272" t="s"/>
      <c r="P3" s="272" t="s"/>
      <c r="Q3" s="272" t="s"/>
      <c r="R3" s="272" t="s"/>
      <c r="S3" s="272" t="s"/>
      <c r="T3" s="272" t="s"/>
      <c r="U3" s="272" t="s"/>
      <c r="V3" s="272" t="s"/>
      <c r="W3" s="272" t="s"/>
      <c r="X3" s="272" t="s"/>
      <c r="Y3" s="272" t="s"/>
    </row>
    <row r="4" spans="1:25">
      <c r="A4" s="270" t="s">
        <v>49</v>
      </c>
      <c r="B4" s="270" t="s">
        <v>564</v>
      </c>
      <c r="C4" s="271" t="s">
        <v>499</v>
      </c>
      <c r="D4" s="272" t="s">
        <v>499</v>
      </c>
      <c r="E4" s="272" t="s"/>
      <c r="F4" s="272" t="s"/>
      <c r="G4" s="272" t="s"/>
      <c r="H4" s="272" t="s"/>
      <c r="I4" s="272" t="s"/>
      <c r="J4" s="272" t="s"/>
      <c r="K4" s="272" t="s"/>
      <c r="L4" s="272" t="s"/>
      <c r="M4" s="272" t="s"/>
      <c r="N4" s="272" t="s"/>
      <c r="O4" s="272" t="s"/>
      <c r="P4" s="272" t="s"/>
      <c r="Q4" s="272" t="s"/>
      <c r="R4" s="272" t="s"/>
      <c r="S4" s="272" t="s"/>
      <c r="T4" s="272" t="s"/>
      <c r="U4" s="272" t="s"/>
      <c r="V4" s="272" t="s"/>
      <c r="W4" s="272" t="s"/>
      <c r="X4" s="272" t="s"/>
      <c r="Y4" s="272" t="s"/>
    </row>
    <row r="5" spans="1:25">
      <c r="A5" s="270" t="s">
        <v>210</v>
      </c>
      <c r="B5" s="270" t="s">
        <v>565</v>
      </c>
      <c r="C5" s="271" t="s">
        <v>499</v>
      </c>
      <c r="D5" s="272" t="s">
        <v>499</v>
      </c>
      <c r="E5" s="272" t="s"/>
      <c r="F5" s="272" t="s"/>
      <c r="G5" s="272" t="s"/>
      <c r="H5" s="272" t="s"/>
      <c r="I5" s="272" t="s"/>
      <c r="J5" s="272" t="s"/>
      <c r="K5" s="272" t="s"/>
      <c r="L5" s="272" t="s"/>
      <c r="M5" s="272" t="s"/>
      <c r="N5" s="272" t="s"/>
      <c r="O5" s="272" t="s"/>
      <c r="P5" s="272" t="s"/>
      <c r="Q5" s="272" t="s"/>
      <c r="R5" s="272" t="s"/>
      <c r="S5" s="272" t="s"/>
      <c r="T5" s="272" t="s"/>
      <c r="U5" s="272" t="s"/>
      <c r="V5" s="272" t="s"/>
      <c r="W5" s="272" t="s"/>
      <c r="X5" s="272" t="s"/>
      <c r="Y5" s="272" t="s"/>
    </row>
    <row r="6" spans="1:25" collapsed="false">
      <c r="A6" s="270" t="s">
        <v>469</v>
      </c>
      <c r="B6" s="273" t="s">
        <v>566</v>
      </c>
      <c r="C6" s="271" t="s">
        <v>499</v>
      </c>
      <c r="D6" s="272" t="s">
        <v>499</v>
      </c>
      <c r="E6" s="272" t="s"/>
      <c r="F6" s="272" t="s"/>
      <c r="G6" s="272" t="s"/>
      <c r="H6" s="272" t="s"/>
      <c r="I6" s="272" t="s"/>
      <c r="J6" s="272" t="s"/>
      <c r="K6" s="272" t="s"/>
      <c r="L6" s="272" t="s"/>
      <c r="M6" s="272" t="s"/>
      <c r="N6" s="272" t="s"/>
      <c r="O6" s="272" t="s"/>
      <c r="P6" s="272" t="s"/>
      <c r="Q6" s="272" t="s"/>
      <c r="R6" s="272" t="s"/>
      <c r="S6" s="272" t="s"/>
      <c r="T6" s="272" t="s"/>
      <c r="U6" s="272" t="s"/>
      <c r="V6" s="272" t="s"/>
      <c r="W6" s="272" t="s"/>
      <c r="X6" s="272" t="s"/>
      <c r="Y6" s="272" t="s"/>
    </row>
    <row r="7" spans="1:25">
      <c r="A7" s="270" t="s">
        <v>292</v>
      </c>
      <c r="B7" s="273" t="s">
        <v>567</v>
      </c>
      <c r="C7" s="271" t="s">
        <v>499</v>
      </c>
      <c r="D7" s="272" t="s">
        <v>499</v>
      </c>
      <c r="E7" s="272" t="s"/>
      <c r="F7" s="272" t="s"/>
      <c r="G7" s="272" t="s"/>
      <c r="H7" s="272" t="s"/>
      <c r="I7" s="272" t="s"/>
      <c r="J7" s="272" t="s"/>
      <c r="K7" s="272" t="s"/>
      <c r="L7" s="272" t="s"/>
      <c r="M7" s="272" t="s"/>
      <c r="N7" s="272" t="s"/>
      <c r="O7" s="272" t="s"/>
      <c r="P7" s="272" t="s"/>
      <c r="Q7" s="272" t="s"/>
      <c r="R7" s="272" t="s"/>
      <c r="S7" s="272" t="s"/>
      <c r="T7" s="272" t="s"/>
      <c r="U7" s="272" t="s"/>
      <c r="V7" s="272" t="s"/>
      <c r="W7" s="272" t="s"/>
      <c r="X7" s="272" t="s"/>
      <c r="Y7" s="272" t="s"/>
    </row>
    <row r="8" spans="1:25">
      <c r="A8" s="270" t="s">
        <v>407</v>
      </c>
      <c r="B8" s="273" t="s">
        <v>568</v>
      </c>
      <c r="C8" s="271" t="s">
        <v>499</v>
      </c>
      <c r="D8" s="274" t="s">
        <v>499</v>
      </c>
      <c r="E8" s="272" t="s"/>
      <c r="F8" s="272" t="s"/>
      <c r="G8" s="272" t="s"/>
      <c r="H8" s="272" t="s"/>
      <c r="I8" s="272" t="s"/>
      <c r="J8" s="272" t="s"/>
      <c r="K8" s="272" t="s"/>
      <c r="L8" s="272" t="s"/>
      <c r="M8" s="272" t="s"/>
      <c r="N8" s="272" t="s"/>
      <c r="O8" s="272" t="s"/>
      <c r="P8" s="272" t="s"/>
      <c r="Q8" s="272" t="s"/>
      <c r="R8" s="272" t="s"/>
      <c r="S8" s="272" t="s"/>
      <c r="T8" s="272" t="s"/>
      <c r="U8" s="272" t="s"/>
      <c r="V8" s="272" t="s"/>
      <c r="W8" s="272" t="s"/>
      <c r="X8" s="272" t="s"/>
      <c r="Y8" s="272" t="s"/>
    </row>
    <row r="9" spans="1:25">
      <c r="A9" s="270" t="s">
        <v>375</v>
      </c>
      <c r="B9" s="270" t="s">
        <v>569</v>
      </c>
      <c r="C9" s="271" t="s">
        <v>499</v>
      </c>
      <c r="D9" s="272" t="s">
        <v>499</v>
      </c>
      <c r="E9" s="272" t="s"/>
      <c r="F9" s="272" t="s"/>
      <c r="G9" s="272" t="s"/>
      <c r="H9" s="272" t="s"/>
      <c r="I9" s="272" t="s"/>
      <c r="J9" s="272" t="s"/>
      <c r="K9" s="272" t="s"/>
      <c r="L9" s="272" t="s"/>
      <c r="M9" s="272" t="s"/>
      <c r="N9" s="272" t="s"/>
      <c r="O9" s="272" t="s"/>
      <c r="P9" s="272" t="s"/>
      <c r="Q9" s="272" t="s"/>
      <c r="R9" s="272" t="s"/>
      <c r="S9" s="272" t="s"/>
      <c r="T9" s="272" t="s"/>
      <c r="U9" s="272" t="s"/>
      <c r="V9" s="272" t="s"/>
      <c r="W9" s="272" t="s"/>
      <c r="X9" s="272" t="s"/>
      <c r="Y9" s="272" t="s"/>
    </row>
    <row r="10" spans="1:25">
      <c r="A10" s="270" t="s">
        <v>380</v>
      </c>
      <c r="B10" s="273" t="s">
        <v>570</v>
      </c>
      <c r="C10" s="271" t="s">
        <v>499</v>
      </c>
      <c r="D10" s="272" t="s">
        <v>499</v>
      </c>
      <c r="E10" s="272" t="s"/>
      <c r="F10" s="272" t="s"/>
      <c r="G10" s="272" t="s"/>
      <c r="H10" s="272" t="s"/>
      <c r="I10" s="272" t="s"/>
      <c r="J10" s="272" t="s"/>
      <c r="K10" s="272" t="s"/>
      <c r="L10" s="272" t="s"/>
      <c r="M10" s="272" t="s"/>
      <c r="N10" s="272" t="s"/>
      <c r="O10" s="272" t="s"/>
      <c r="P10" s="272" t="s"/>
      <c r="Q10" s="272" t="s"/>
      <c r="R10" s="272" t="s"/>
      <c r="S10" s="272" t="s"/>
      <c r="T10" s="272" t="s"/>
      <c r="U10" s="272" t="s"/>
      <c r="V10" s="272" t="s"/>
      <c r="W10" s="272" t="s"/>
      <c r="X10" s="272" t="s"/>
      <c r="Y10" s="272" t="s"/>
    </row>
    <row r="11" spans="1:25">
      <c r="A11" s="270" t="s">
        <v>308</v>
      </c>
      <c r="B11" s="273" t="s">
        <v>571</v>
      </c>
      <c r="C11" s="271" t="s">
        <v>499</v>
      </c>
      <c r="D11" s="272" t="s">
        <v>499</v>
      </c>
      <c r="E11" s="271" t="s"/>
      <c r="G11" s="272" t="s"/>
      <c r="H11" s="271" t="s"/>
      <c r="I11" s="272" t="s"/>
      <c r="J11" s="272" t="s"/>
      <c r="K11" s="272" t="s"/>
      <c r="L11" s="272" t="s"/>
      <c r="M11" s="272" t="s"/>
      <c r="N11" s="272" t="s"/>
      <c r="O11" s="272" t="s"/>
      <c r="P11" s="272" t="s"/>
      <c r="Q11" s="272" t="s"/>
      <c r="R11" s="272" t="s"/>
      <c r="S11" s="272" t="s"/>
      <c r="T11" s="272" t="s"/>
      <c r="U11" s="272" t="s"/>
      <c r="V11" s="272" t="s"/>
      <c r="W11" s="272" t="s"/>
      <c r="X11" s="272" t="s"/>
      <c r="Y11" s="272" t="s"/>
    </row>
    <row r="12" spans="1:25">
      <c r="A12" s="270" t="s">
        <v>393</v>
      </c>
      <c r="B12" s="270" t="s">
        <v>572</v>
      </c>
      <c r="C12" s="271" t="s">
        <v>499</v>
      </c>
      <c r="D12" s="272" t="s">
        <v>499</v>
      </c>
      <c r="E12" s="271" t="s"/>
      <c r="F12" s="272" t="s"/>
      <c r="G12" s="272" t="s"/>
      <c r="H12" s="271" t="s"/>
      <c r="I12" s="272" t="s"/>
      <c r="J12" s="272" t="s"/>
      <c r="K12" s="272" t="s"/>
      <c r="L12" s="272" t="s"/>
      <c r="M12" s="272" t="s"/>
      <c r="N12" s="272" t="s"/>
      <c r="O12" s="272" t="s"/>
      <c r="P12" s="272" t="s"/>
      <c r="Q12" s="272" t="s"/>
      <c r="R12" s="272" t="s"/>
      <c r="S12" s="272" t="s"/>
      <c r="T12" s="272" t="s"/>
      <c r="U12" s="272" t="s"/>
      <c r="V12" s="272" t="s"/>
      <c r="W12" s="272" t="s"/>
      <c r="X12" s="272" t="s"/>
      <c r="Y12" s="272" t="s"/>
    </row>
    <row r="13" spans="1:25">
      <c r="A13" s="270" t="s">
        <v>131</v>
      </c>
      <c r="B13" s="273" t="s">
        <v>573</v>
      </c>
      <c r="C13" s="271" t="s">
        <v>499</v>
      </c>
      <c r="D13" s="272" t="s">
        <v>499</v>
      </c>
      <c r="E13" s="271" t="s"/>
      <c r="F13" s="272" t="s"/>
      <c r="G13" s="272" t="s"/>
      <c r="H13" s="271" t="s"/>
      <c r="I13" s="272" t="s"/>
      <c r="J13" s="272" t="s"/>
      <c r="K13" s="272" t="s"/>
      <c r="L13" s="272" t="s"/>
      <c r="M13" s="272" t="s"/>
      <c r="N13" s="272" t="s"/>
      <c r="O13" s="272" t="s"/>
      <c r="P13" s="272" t="s"/>
      <c r="Q13" s="272" t="s"/>
      <c r="R13" s="272" t="s"/>
      <c r="S13" s="272" t="s"/>
      <c r="T13" s="272" t="s"/>
      <c r="U13" s="272" t="s"/>
      <c r="V13" s="272" t="s"/>
      <c r="W13" s="272" t="s"/>
      <c r="X13" s="272" t="s"/>
      <c r="Y13" s="272" t="s"/>
    </row>
    <row r="14" spans="1:25">
      <c r="A14" s="270" t="s">
        <v>343</v>
      </c>
      <c r="B14" s="273" t="s">
        <v>574</v>
      </c>
      <c r="C14" s="271" t="s">
        <v>499</v>
      </c>
      <c r="D14" s="272" t="s">
        <v>499</v>
      </c>
      <c r="E14" s="271" t="s"/>
      <c r="F14" s="272" t="s"/>
      <c r="G14" s="272" t="s"/>
      <c r="H14" s="271" t="s"/>
      <c r="I14" s="272" t="s"/>
      <c r="J14" s="272" t="s"/>
      <c r="K14" s="272" t="s"/>
      <c r="L14" s="272" t="s"/>
      <c r="M14" s="272" t="s"/>
      <c r="N14" s="272" t="s"/>
      <c r="O14" s="272" t="s"/>
      <c r="P14" s="272" t="s"/>
      <c r="Q14" s="272" t="s"/>
      <c r="R14" s="272" t="s"/>
      <c r="S14" s="272" t="s"/>
      <c r="T14" s="272" t="s"/>
      <c r="U14" s="272" t="s"/>
      <c r="V14" s="272" t="s"/>
      <c r="W14" s="272" t="s"/>
      <c r="X14" s="272" t="s"/>
      <c r="Y14" s="272" t="s"/>
    </row>
    <row r="15" spans="1:25">
      <c r="A15" s="270" t="s">
        <v>272</v>
      </c>
      <c r="B15" s="273" t="s">
        <v>575</v>
      </c>
      <c r="C15" s="271" t="s">
        <v>499</v>
      </c>
      <c r="D15" s="272" t="s">
        <v>499</v>
      </c>
      <c r="E15" s="271" t="s"/>
      <c r="F15" s="272" t="s"/>
      <c r="G15" s="272" t="s"/>
      <c r="H15" s="271" t="s"/>
      <c r="I15" s="272" t="s"/>
      <c r="J15" s="272" t="s"/>
      <c r="K15" s="272" t="s"/>
      <c r="L15" s="272" t="s"/>
      <c r="M15" s="272" t="s"/>
      <c r="N15" s="272" t="s"/>
      <c r="O15" s="272" t="s"/>
      <c r="P15" s="272" t="s"/>
      <c r="Q15" s="272" t="s"/>
      <c r="R15" s="272" t="s"/>
      <c r="S15" s="272" t="s"/>
      <c r="T15" s="272" t="s"/>
      <c r="U15" s="272" t="s"/>
      <c r="V15" s="272" t="s"/>
      <c r="W15" s="272" t="s"/>
      <c r="X15" s="272" t="s"/>
      <c r="Y15" s="272" t="s"/>
    </row>
    <row r="16" spans="1:25">
      <c r="A16" s="270" t="s">
        <v>298</v>
      </c>
      <c r="B16" s="273" t="s">
        <v>576</v>
      </c>
      <c r="C16" s="275" t="s">
        <v>499</v>
      </c>
      <c r="D16" s="276" t="s">
        <v>499</v>
      </c>
      <c r="E16" s="271" t="s"/>
      <c r="F16" s="272" t="s"/>
      <c r="G16" s="272" t="s"/>
      <c r="H16" s="271" t="s"/>
      <c r="I16" s="272" t="s"/>
      <c r="J16" s="272" t="s"/>
      <c r="K16" s="272" t="s"/>
      <c r="L16" s="272" t="s"/>
      <c r="M16" s="272" t="s"/>
      <c r="N16" s="272" t="s"/>
      <c r="O16" s="272" t="s"/>
      <c r="P16" s="272" t="s"/>
      <c r="Q16" s="272" t="s"/>
      <c r="R16" s="272" t="s"/>
      <c r="S16" s="272" t="s"/>
      <c r="T16" s="272" t="s"/>
      <c r="U16" s="272" t="s"/>
      <c r="V16" s="272" t="s"/>
      <c r="W16" s="272" t="s"/>
      <c r="X16" s="272" t="s"/>
      <c r="Y16" s="272" t="s"/>
    </row>
    <row r="17" spans="1:25">
      <c r="A17" s="270" t="s">
        <v>280</v>
      </c>
      <c r="B17" s="270" t="s">
        <v>577</v>
      </c>
      <c r="C17" s="271" t="s">
        <v>499</v>
      </c>
      <c r="D17" s="272" t="s">
        <v>499</v>
      </c>
      <c r="E17" s="271" t="s"/>
      <c r="F17" s="272" t="s"/>
      <c r="G17" s="272" t="s"/>
      <c r="H17" s="271" t="s"/>
      <c r="I17" s="272" t="s"/>
      <c r="J17" s="272" t="s"/>
      <c r="K17" s="272" t="s"/>
      <c r="L17" s="272" t="s"/>
      <c r="M17" s="272" t="s"/>
      <c r="N17" s="272" t="s"/>
      <c r="O17" s="272" t="s"/>
      <c r="P17" s="272" t="s"/>
      <c r="Q17" s="272" t="s"/>
      <c r="R17" s="272" t="s"/>
      <c r="S17" s="272" t="s"/>
      <c r="T17" s="272" t="s"/>
      <c r="U17" s="272" t="s"/>
      <c r="V17" s="272" t="s"/>
      <c r="W17" s="272" t="s"/>
      <c r="X17" s="272" t="s"/>
      <c r="Y17" s="272" t="s"/>
    </row>
    <row r="18" spans="1:25">
      <c r="A18" s="270" t="s">
        <v>121</v>
      </c>
      <c r="B18" s="273" t="s">
        <v>578</v>
      </c>
      <c r="C18" s="271" t="s">
        <v>499</v>
      </c>
      <c r="D18" s="272" t="s">
        <v>499</v>
      </c>
      <c r="E18" s="271" t="s"/>
      <c r="F18" s="272" t="s"/>
      <c r="G18" s="272" t="s"/>
      <c r="H18" s="271" t="s"/>
      <c r="I18" s="272" t="s"/>
      <c r="J18" s="272" t="s"/>
      <c r="K18" s="272" t="s"/>
      <c r="L18" s="272" t="s"/>
      <c r="M18" s="272" t="s"/>
      <c r="N18" s="272" t="s"/>
      <c r="O18" s="272" t="s"/>
      <c r="P18" s="272" t="s"/>
      <c r="Q18" s="272" t="s"/>
      <c r="R18" s="272" t="s"/>
      <c r="S18" s="272" t="s"/>
      <c r="T18" s="272" t="s"/>
      <c r="U18" s="272" t="s"/>
      <c r="V18" s="272" t="s"/>
      <c r="W18" s="272" t="s"/>
      <c r="X18" s="272" t="s"/>
      <c r="Y18" s="272" t="s"/>
    </row>
    <row r="19" spans="1:25">
      <c r="A19" s="270" t="s">
        <v>338</v>
      </c>
      <c r="B19" s="273" t="s">
        <v>579</v>
      </c>
      <c r="C19" s="271" t="s">
        <v>499</v>
      </c>
      <c r="D19" s="272" t="s">
        <v>499</v>
      </c>
      <c r="E19" s="271" t="s"/>
      <c r="F19" s="272" t="s"/>
      <c r="G19" s="272" t="s"/>
      <c r="H19" s="271" t="s"/>
      <c r="I19" s="272" t="s"/>
      <c r="J19" s="272" t="s"/>
      <c r="K19" s="272" t="s"/>
      <c r="L19" s="272" t="s"/>
      <c r="M19" s="272" t="s"/>
      <c r="N19" s="272" t="s"/>
      <c r="O19" s="272" t="s"/>
      <c r="P19" s="272" t="s"/>
      <c r="Q19" s="272" t="s"/>
      <c r="R19" s="272" t="s"/>
      <c r="S19" s="272" t="s"/>
      <c r="T19" s="272" t="s"/>
      <c r="U19" s="272" t="s"/>
      <c r="V19" s="272" t="s"/>
      <c r="W19" s="272" t="s"/>
      <c r="X19" s="272" t="s"/>
      <c r="Y19" s="272" t="s"/>
    </row>
    <row r="20" spans="1:25">
      <c r="A20" s="270" t="s">
        <v>36</v>
      </c>
      <c r="B20" s="270" t="s">
        <v>580</v>
      </c>
      <c r="C20" s="271" t="s">
        <v>499</v>
      </c>
      <c r="D20" s="272" t="s">
        <v>499</v>
      </c>
      <c r="E20" s="271" t="s"/>
      <c r="F20" s="272" t="s"/>
      <c r="G20" s="272" t="s"/>
      <c r="H20" s="271" t="s"/>
      <c r="I20" s="272" t="s"/>
      <c r="J20" s="272" t="s"/>
      <c r="K20" s="272" t="s"/>
      <c r="L20" s="272" t="s"/>
      <c r="M20" s="272" t="s"/>
      <c r="N20" s="272" t="s"/>
      <c r="O20" s="272" t="s"/>
      <c r="P20" s="272" t="s"/>
      <c r="Q20" s="272" t="s"/>
      <c r="R20" s="272" t="s"/>
      <c r="S20" s="272" t="s"/>
      <c r="T20" s="272" t="s"/>
      <c r="U20" s="272" t="s"/>
      <c r="V20" s="272" t="s"/>
      <c r="W20" s="272" t="s"/>
      <c r="X20" s="272" t="s"/>
      <c r="Y20" s="272" t="s"/>
    </row>
    <row r="21" spans="1:25">
      <c r="A21" s="270" t="s">
        <v>332</v>
      </c>
      <c r="B21" s="273" t="s">
        <v>581</v>
      </c>
      <c r="C21" s="271" t="s">
        <v>499</v>
      </c>
      <c r="D21" s="272" t="s">
        <v>499</v>
      </c>
      <c r="E21" s="271" t="s"/>
      <c r="F21" s="272" t="s"/>
      <c r="G21" s="272" t="s"/>
      <c r="H21" s="271" t="s"/>
      <c r="I21" s="272" t="s"/>
      <c r="J21" s="272" t="s"/>
      <c r="K21" s="272" t="s"/>
      <c r="L21" s="272" t="s"/>
      <c r="M21" s="272" t="s"/>
      <c r="N21" s="272" t="s"/>
      <c r="O21" s="272" t="s"/>
      <c r="P21" s="272" t="s"/>
      <c r="Q21" s="272" t="s"/>
      <c r="R21" s="272" t="s"/>
      <c r="S21" s="272" t="s"/>
      <c r="T21" s="272" t="s"/>
      <c r="U21" s="272" t="s"/>
      <c r="V21" s="272" t="s"/>
      <c r="W21" s="272" t="s"/>
      <c r="X21" s="272" t="s"/>
      <c r="Y21" s="272" t="s"/>
    </row>
    <row r="22" spans="1:25">
      <c r="A22" s="270" t="s">
        <v>286</v>
      </c>
      <c r="B22" s="273" t="s">
        <v>582</v>
      </c>
      <c r="C22" s="271" t="s">
        <v>499</v>
      </c>
      <c r="D22" s="272" t="s">
        <v>499</v>
      </c>
      <c r="E22" s="271" t="s"/>
      <c r="F22" s="272" t="s"/>
      <c r="G22" s="272" t="s"/>
      <c r="H22" s="271" t="s"/>
      <c r="I22" s="272" t="s"/>
      <c r="J22" s="272" t="s"/>
      <c r="K22" s="272" t="s"/>
      <c r="L22" s="272" t="s"/>
      <c r="M22" s="272" t="s"/>
      <c r="N22" s="272" t="s"/>
      <c r="O22" s="272" t="s"/>
      <c r="P22" s="272" t="s"/>
      <c r="Q22" s="272" t="s"/>
      <c r="R22" s="272" t="s"/>
      <c r="S22" s="272" t="s"/>
      <c r="T22" s="272" t="s"/>
      <c r="U22" s="272" t="s"/>
      <c r="V22" s="272" t="s"/>
      <c r="W22" s="272" t="s"/>
      <c r="X22" s="272" t="s"/>
      <c r="Y22" s="272" t="s"/>
    </row>
    <row r="23" spans="1:25">
      <c r="A23" s="270" t="s">
        <v>155</v>
      </c>
      <c r="B23" s="273" t="s">
        <v>583</v>
      </c>
      <c r="C23" s="271" t="s">
        <v>499</v>
      </c>
      <c r="D23" s="272" t="s">
        <v>499</v>
      </c>
      <c r="E23" s="271" t="s"/>
      <c r="F23" s="272" t="s"/>
      <c r="G23" s="272" t="s"/>
      <c r="H23" s="271" t="s"/>
      <c r="I23" s="272" t="s"/>
      <c r="J23" s="272" t="s"/>
      <c r="K23" s="272" t="s"/>
      <c r="L23" s="272" t="s"/>
      <c r="M23" s="272" t="s"/>
      <c r="N23" s="272" t="s"/>
      <c r="O23" s="272" t="s"/>
      <c r="P23" s="272" t="s"/>
      <c r="Q23" s="272" t="s"/>
      <c r="R23" s="272" t="s"/>
      <c r="S23" s="272" t="s"/>
      <c r="T23" s="272" t="s"/>
      <c r="U23" s="272" t="s"/>
      <c r="V23" s="272" t="s"/>
      <c r="W23" s="272" t="s"/>
      <c r="X23" s="272" t="s"/>
      <c r="Y23" s="272" t="s"/>
    </row>
    <row r="24" spans="1:25">
      <c r="A24" s="270" t="s">
        <v>52</v>
      </c>
      <c r="B24" s="270" t="s">
        <v>584</v>
      </c>
      <c r="C24" s="271" t="s">
        <v>499</v>
      </c>
      <c r="D24" s="272" t="s">
        <v>499</v>
      </c>
      <c r="E24" s="271" t="s"/>
      <c r="F24" s="272" t="s"/>
      <c r="G24" s="272" t="s"/>
      <c r="H24" s="271" t="s"/>
      <c r="I24" s="272" t="s"/>
      <c r="J24" s="272" t="s"/>
      <c r="K24" s="272" t="s"/>
      <c r="L24" s="272" t="s"/>
      <c r="M24" s="272" t="s"/>
      <c r="N24" s="272" t="s"/>
      <c r="O24" s="272" t="s"/>
      <c r="P24" s="272" t="s"/>
      <c r="Q24" s="272" t="s"/>
      <c r="R24" s="272" t="s"/>
      <c r="S24" s="272" t="s"/>
      <c r="T24" s="272" t="s"/>
      <c r="U24" s="272" t="s"/>
      <c r="V24" s="272" t="s"/>
      <c r="W24" s="272" t="s"/>
      <c r="X24" s="272" t="s"/>
      <c r="Y24" s="272" t="s"/>
    </row>
    <row r="25" spans="1:25" s="296" customFormat="true">
      <c r="A25" s="267" t="s">
        <v>77</v>
      </c>
      <c r="B25" s="267" t="s">
        <v>585</v>
      </c>
      <c r="C25" s="268" t="s">
        <v>501</v>
      </c>
      <c r="D25" s="269" t="s">
        <v>501</v>
      </c>
      <c r="E25" s="268" t="s"/>
      <c r="F25" s="269" t="s"/>
      <c r="G25" s="269" t="s"/>
      <c r="H25" s="268" t="s"/>
      <c r="I25" s="269" t="s"/>
      <c r="J25" s="269" t="s"/>
      <c r="K25" s="269" t="s"/>
      <c r="L25" s="269" t="s"/>
      <c r="M25" s="269" t="s"/>
      <c r="N25" s="269" t="s"/>
      <c r="O25" s="269" t="s"/>
      <c r="P25" s="269" t="s"/>
      <c r="Q25" s="269" t="s"/>
      <c r="R25" s="269" t="s"/>
      <c r="S25" s="269" t="s"/>
      <c r="T25" s="269" t="s"/>
      <c r="U25" s="269" t="s"/>
      <c r="V25" s="269" t="s"/>
      <c r="W25" s="269" t="s"/>
      <c r="X25" s="269" t="s"/>
      <c r="Y25" s="269" t="s"/>
    </row>
    <row r="26" spans="1:25">
      <c r="A26" s="270" t="s">
        <v>40</v>
      </c>
      <c r="B26" s="270" t="s">
        <v>586</v>
      </c>
      <c r="C26" s="271" t="s">
        <v>501</v>
      </c>
      <c r="D26" s="272" t="s">
        <v>501</v>
      </c>
      <c r="E26" s="271" t="s"/>
      <c r="F26" s="272" t="s"/>
      <c r="G26" s="272" t="s"/>
      <c r="H26" s="271" t="s"/>
      <c r="I26" s="272" t="s"/>
      <c r="J26" s="272" t="s"/>
      <c r="K26" s="272" t="s"/>
      <c r="L26" s="272" t="s"/>
      <c r="M26" s="272" t="s"/>
      <c r="N26" s="272" t="s"/>
      <c r="O26" s="272" t="s"/>
      <c r="P26" s="272" t="s"/>
      <c r="Q26" s="272" t="s"/>
      <c r="R26" s="272" t="s"/>
      <c r="S26" s="272" t="s"/>
      <c r="T26" s="272" t="s"/>
      <c r="U26" s="272" t="s"/>
      <c r="V26" s="272" t="s"/>
      <c r="W26" s="272" t="s"/>
      <c r="X26" s="272" t="s"/>
      <c r="Y26" s="272" t="s"/>
    </row>
    <row r="27" spans="1:25">
      <c r="A27" s="270" t="s">
        <v>502</v>
      </c>
      <c r="B27" s="270" t="s">
        <v>587</v>
      </c>
      <c r="C27" s="271" t="s">
        <v>501</v>
      </c>
      <c r="D27" s="272" t="s">
        <v>501</v>
      </c>
      <c r="E27" s="271" t="s"/>
      <c r="F27" s="272" t="s"/>
      <c r="G27" s="272" t="s"/>
      <c r="H27" s="271" t="s"/>
      <c r="I27" s="272" t="s"/>
      <c r="J27" s="272" t="s"/>
      <c r="K27" s="272" t="s"/>
      <c r="L27" s="272" t="s"/>
      <c r="M27" s="272" t="s"/>
      <c r="N27" s="272" t="s"/>
      <c r="O27" s="272" t="s"/>
      <c r="P27" s="272" t="s"/>
      <c r="Q27" s="272" t="s"/>
      <c r="R27" s="272" t="s"/>
      <c r="S27" s="272" t="s"/>
      <c r="T27" s="272" t="s"/>
      <c r="U27" s="272" t="s"/>
      <c r="V27" s="272" t="s"/>
      <c r="W27" s="272" t="s"/>
      <c r="X27" s="272" t="s"/>
      <c r="Y27" s="272" t="s"/>
    </row>
    <row r="28" spans="1:25">
      <c r="A28" s="270" t="s">
        <v>371</v>
      </c>
      <c r="B28" s="270" t="s">
        <v>588</v>
      </c>
      <c r="C28" s="271" t="s">
        <v>501</v>
      </c>
      <c r="D28" s="272" t="s">
        <v>501</v>
      </c>
      <c r="E28" s="271" t="s"/>
      <c r="F28" s="272" t="s"/>
      <c r="G28" s="272" t="s"/>
      <c r="H28" s="271" t="s"/>
      <c r="I28" s="272" t="s"/>
      <c r="J28" s="272" t="s"/>
      <c r="K28" s="272" t="s"/>
      <c r="L28" s="272" t="s"/>
      <c r="M28" s="272" t="s"/>
      <c r="N28" s="272" t="s"/>
      <c r="O28" s="272" t="s"/>
      <c r="P28" s="272" t="s"/>
      <c r="Q28" s="272" t="s"/>
      <c r="R28" s="272" t="s"/>
      <c r="S28" s="272" t="s"/>
      <c r="T28" s="272" t="s"/>
      <c r="U28" s="272" t="s"/>
      <c r="V28" s="272" t="s"/>
      <c r="W28" s="272" t="s"/>
      <c r="X28" s="272" t="s"/>
      <c r="Y28" s="272" t="s"/>
    </row>
    <row r="29" spans="1:25">
      <c r="A29" s="270" t="s">
        <v>427</v>
      </c>
      <c r="B29" s="270" t="s">
        <v>589</v>
      </c>
      <c r="C29" s="271" t="s">
        <v>501</v>
      </c>
      <c r="D29" s="272" t="s">
        <v>501</v>
      </c>
      <c r="E29" s="271" t="s"/>
      <c r="F29" s="272" t="s"/>
      <c r="G29" s="272" t="s"/>
      <c r="H29" s="271" t="s"/>
      <c r="I29" s="272" t="s"/>
      <c r="J29" s="272" t="s"/>
      <c r="K29" s="272" t="s"/>
      <c r="L29" s="272" t="s"/>
      <c r="M29" s="272" t="s"/>
      <c r="N29" s="272" t="s"/>
      <c r="O29" s="272" t="s"/>
      <c r="P29" s="272" t="s"/>
      <c r="Q29" s="272" t="s"/>
      <c r="R29" s="272" t="s"/>
      <c r="S29" s="272" t="s"/>
      <c r="T29" s="272" t="s"/>
      <c r="U29" s="272" t="s"/>
      <c r="V29" s="272" t="s"/>
      <c r="W29" s="272" t="s"/>
      <c r="X29" s="272" t="s"/>
      <c r="Y29" s="272" t="s"/>
    </row>
    <row r="30" spans="1:25">
      <c r="A30" s="270" t="s">
        <v>422</v>
      </c>
      <c r="B30" s="270" t="s">
        <v>590</v>
      </c>
      <c r="C30" s="271" t="s">
        <v>501</v>
      </c>
      <c r="D30" s="272" t="s">
        <v>501</v>
      </c>
      <c r="E30" s="271" t="s"/>
      <c r="F30" s="272" t="s"/>
      <c r="G30" s="272" t="s"/>
      <c r="H30" s="271" t="s"/>
      <c r="I30" s="272" t="s"/>
      <c r="J30" s="272" t="s"/>
      <c r="K30" s="272" t="s"/>
      <c r="L30" s="272" t="s"/>
      <c r="M30" s="272" t="s"/>
      <c r="N30" s="272" t="s"/>
      <c r="O30" s="272" t="s"/>
      <c r="P30" s="272" t="s"/>
      <c r="Q30" s="272" t="s"/>
      <c r="R30" s="272" t="s"/>
      <c r="S30" s="272" t="s"/>
      <c r="T30" s="272" t="s"/>
      <c r="U30" s="272" t="s"/>
      <c r="V30" s="272" t="s"/>
      <c r="W30" s="272" t="s"/>
      <c r="X30" s="272" t="s"/>
      <c r="Y30" s="272" t="s"/>
    </row>
    <row r="31" spans="1:25">
      <c r="A31" s="270" t="s">
        <v>57</v>
      </c>
      <c r="B31" s="270" t="s">
        <v>591</v>
      </c>
      <c r="C31" s="271" t="s">
        <v>501</v>
      </c>
      <c r="D31" s="272" t="s">
        <v>501</v>
      </c>
      <c r="E31" s="271" t="s"/>
      <c r="F31" s="272" t="s"/>
      <c r="G31" s="272" t="s"/>
      <c r="H31" s="271" t="s"/>
      <c r="I31" s="272" t="s"/>
      <c r="J31" s="272" t="s"/>
      <c r="K31" s="272" t="s"/>
      <c r="L31" s="272" t="s"/>
      <c r="M31" s="272" t="s"/>
      <c r="N31" s="272" t="s"/>
      <c r="O31" s="272" t="s"/>
      <c r="P31" s="272" t="s"/>
      <c r="Q31" s="272" t="s"/>
      <c r="R31" s="272" t="s"/>
      <c r="S31" s="272" t="s"/>
      <c r="T31" s="272" t="s"/>
      <c r="U31" s="272" t="s"/>
      <c r="V31" s="272" t="s"/>
      <c r="W31" s="272" t="s"/>
      <c r="X31" s="272" t="s"/>
      <c r="Y31" s="272" t="s"/>
    </row>
    <row r="32" spans="1:25">
      <c r="A32" s="270" t="s">
        <v>31</v>
      </c>
      <c r="B32" s="270" t="s">
        <v>592</v>
      </c>
      <c r="C32" s="271" t="s">
        <v>501</v>
      </c>
      <c r="D32" s="272" t="s">
        <v>501</v>
      </c>
      <c r="E32" s="271" t="s"/>
      <c r="F32" s="272" t="s"/>
      <c r="G32" s="272" t="s"/>
      <c r="H32" s="271" t="s"/>
      <c r="I32" s="272" t="s"/>
      <c r="J32" s="272" t="s"/>
      <c r="K32" s="272" t="s"/>
      <c r="L32" s="272" t="s"/>
      <c r="M32" s="272" t="s"/>
      <c r="N32" s="272" t="s"/>
      <c r="O32" s="272" t="s"/>
      <c r="P32" s="272" t="s"/>
      <c r="Q32" s="272" t="s"/>
      <c r="R32" s="272" t="s"/>
      <c r="S32" s="272" t="s"/>
      <c r="T32" s="272" t="s"/>
      <c r="U32" s="272" t="s"/>
      <c r="V32" s="272" t="s"/>
      <c r="W32" s="272" t="s"/>
      <c r="X32" s="272" t="s"/>
      <c r="Y32" s="272" t="s"/>
    </row>
    <row r="33" spans="1:25">
      <c r="A33" s="270" t="s">
        <v>19</v>
      </c>
      <c r="B33" s="270" t="s">
        <v>593</v>
      </c>
      <c r="C33" s="271" t="s">
        <v>501</v>
      </c>
      <c r="D33" s="272" t="s">
        <v>501</v>
      </c>
      <c r="E33" s="271" t="s"/>
      <c r="F33" s="272" t="s"/>
      <c r="G33" s="272" t="s"/>
      <c r="H33" s="271" t="s"/>
      <c r="I33" s="272" t="s"/>
      <c r="J33" s="272" t="s"/>
      <c r="K33" s="272" t="s"/>
      <c r="L33" s="272" t="s"/>
      <c r="M33" s="272" t="s"/>
      <c r="N33" s="272" t="s"/>
      <c r="O33" s="272" t="s"/>
      <c r="P33" s="272" t="s"/>
      <c r="Q33" s="272" t="s"/>
      <c r="R33" s="272" t="s"/>
      <c r="S33" s="272" t="s"/>
      <c r="T33" s="272" t="s"/>
      <c r="U33" s="272" t="s"/>
      <c r="V33" s="272" t="s"/>
      <c r="W33" s="272" t="s"/>
      <c r="X33" s="272" t="s"/>
      <c r="Y33" s="272" t="s"/>
    </row>
    <row r="34" spans="1:25">
      <c r="A34" s="270" t="s">
        <v>433</v>
      </c>
      <c r="B34" s="270" t="s">
        <v>594</v>
      </c>
      <c r="C34" s="271" t="s">
        <v>501</v>
      </c>
      <c r="D34" s="272" t="s">
        <v>501</v>
      </c>
      <c r="E34" s="271" t="s"/>
      <c r="F34" s="272" t="s"/>
      <c r="G34" s="272" t="s"/>
      <c r="H34" s="271" t="s"/>
      <c r="I34" s="272" t="s"/>
      <c r="J34" s="272" t="s"/>
      <c r="K34" s="272" t="s"/>
      <c r="L34" s="272" t="s"/>
      <c r="M34" s="272" t="s"/>
      <c r="N34" s="272" t="s"/>
      <c r="O34" s="272" t="s"/>
      <c r="P34" s="272" t="s"/>
      <c r="Q34" s="272" t="s"/>
      <c r="R34" s="272" t="s"/>
      <c r="S34" s="272" t="s"/>
      <c r="T34" s="272" t="s"/>
      <c r="U34" s="272" t="s"/>
      <c r="V34" s="272" t="s"/>
      <c r="W34" s="272" t="s"/>
      <c r="X34" s="272" t="s"/>
      <c r="Y34" s="272" t="s"/>
    </row>
    <row r="35" spans="1:25">
      <c r="A35" s="270" t="s">
        <v>70</v>
      </c>
      <c r="B35" s="270" t="s">
        <v>595</v>
      </c>
      <c r="C35" s="271" t="s">
        <v>501</v>
      </c>
      <c r="D35" s="272" t="s">
        <v>501</v>
      </c>
      <c r="E35" s="271" t="s"/>
      <c r="F35" s="272" t="s"/>
      <c r="G35" s="272" t="s"/>
      <c r="H35" s="271" t="s"/>
      <c r="I35" s="272" t="s"/>
      <c r="J35" s="272" t="s"/>
      <c r="K35" s="272" t="s"/>
      <c r="L35" s="272" t="s"/>
      <c r="M35" s="272" t="s"/>
      <c r="N35" s="272" t="s"/>
      <c r="O35" s="272" t="s"/>
      <c r="P35" s="272" t="s"/>
      <c r="Q35" s="272" t="s"/>
      <c r="R35" s="272" t="s"/>
      <c r="S35" s="272" t="s"/>
      <c r="T35" s="272" t="s"/>
      <c r="U35" s="272" t="s"/>
      <c r="V35" s="272" t="s"/>
      <c r="W35" s="272" t="s"/>
      <c r="X35" s="272" t="s"/>
      <c r="Y35" s="272" t="s"/>
    </row>
    <row r="36" spans="1:25">
      <c r="A36" s="270" t="s">
        <v>389</v>
      </c>
      <c r="B36" s="270" t="s">
        <v>596</v>
      </c>
      <c r="C36" s="271" t="s">
        <v>501</v>
      </c>
      <c r="D36" s="272" t="s">
        <v>501</v>
      </c>
      <c r="E36" s="271" t="s"/>
      <c r="F36" s="272" t="s"/>
      <c r="G36" s="272" t="s"/>
      <c r="H36" s="271" t="s"/>
      <c r="I36" s="272" t="s"/>
      <c r="J36" s="272" t="s"/>
      <c r="K36" s="272" t="s"/>
      <c r="L36" s="272" t="s"/>
      <c r="M36" s="272" t="s"/>
      <c r="N36" s="272" t="s"/>
      <c r="O36" s="272" t="s"/>
      <c r="P36" s="272" t="s"/>
      <c r="Q36" s="272" t="s"/>
      <c r="R36" s="272" t="s"/>
      <c r="S36" s="272" t="s"/>
      <c r="T36" s="272" t="s"/>
      <c r="U36" s="272" t="s"/>
      <c r="V36" s="272" t="s"/>
      <c r="W36" s="272" t="s"/>
      <c r="X36" s="272" t="s"/>
      <c r="Y36" s="272" t="s"/>
    </row>
    <row r="37" spans="1:25">
      <c r="A37" s="270" t="s">
        <v>383</v>
      </c>
      <c r="B37" s="270" t="s">
        <v>597</v>
      </c>
      <c r="C37" s="271" t="s">
        <v>501</v>
      </c>
      <c r="D37" s="272" t="s">
        <v>501</v>
      </c>
      <c r="E37" s="271" t="s"/>
      <c r="F37" s="272" t="s"/>
      <c r="G37" s="272" t="s"/>
      <c r="H37" s="271" t="s"/>
      <c r="I37" s="272" t="s"/>
      <c r="J37" s="272" t="s"/>
      <c r="K37" s="272" t="s"/>
      <c r="L37" s="272" t="s"/>
      <c r="M37" s="272" t="s"/>
      <c r="N37" s="272" t="s"/>
      <c r="O37" s="272" t="s"/>
      <c r="P37" s="272" t="s"/>
      <c r="Q37" s="272" t="s"/>
      <c r="R37" s="272" t="s"/>
      <c r="S37" s="272" t="s"/>
      <c r="T37" s="272" t="s"/>
      <c r="U37" s="272" t="s"/>
      <c r="V37" s="272" t="s"/>
      <c r="W37" s="272" t="s"/>
      <c r="X37" s="272" t="s"/>
      <c r="Y37" s="272" t="s"/>
    </row>
    <row r="38" spans="1:25">
      <c r="A38" s="270" t="s">
        <v>476</v>
      </c>
      <c r="B38" s="273" t="s">
        <v>598</v>
      </c>
      <c r="C38" s="275" t="s">
        <v>501</v>
      </c>
      <c r="D38" s="276" t="s">
        <v>501</v>
      </c>
      <c r="E38" s="271" t="s"/>
      <c r="F38" s="272" t="s"/>
      <c r="G38" s="272" t="s"/>
      <c r="H38" s="271" t="s"/>
      <c r="I38" s="272" t="s"/>
      <c r="J38" s="272" t="s"/>
      <c r="K38" s="272" t="s"/>
      <c r="L38" s="272" t="s"/>
      <c r="M38" s="272" t="s"/>
      <c r="N38" s="272" t="s"/>
      <c r="O38" s="272" t="s"/>
      <c r="P38" s="272" t="s"/>
      <c r="Q38" s="272" t="s"/>
      <c r="R38" s="272" t="s"/>
      <c r="S38" s="272" t="s"/>
      <c r="T38" s="272" t="s"/>
      <c r="U38" s="272" t="s"/>
      <c r="V38" s="272" t="s"/>
      <c r="W38" s="272" t="s"/>
      <c r="X38" s="272" t="s"/>
      <c r="Y38" s="272" t="s"/>
    </row>
    <row r="39" spans="1:25">
      <c r="A39" s="270" t="s">
        <v>430</v>
      </c>
      <c r="B39" s="270" t="s">
        <v>589</v>
      </c>
      <c r="C39" s="271" t="s">
        <v>501</v>
      </c>
      <c r="D39" s="272" t="s">
        <v>501</v>
      </c>
      <c r="E39" s="271" t="s"/>
      <c r="F39" s="272" t="s"/>
      <c r="G39" s="272" t="s"/>
      <c r="H39" s="271" t="s"/>
      <c r="I39" s="272" t="s"/>
      <c r="J39" s="272" t="s"/>
      <c r="K39" s="272" t="s"/>
      <c r="L39" s="272" t="s"/>
      <c r="M39" s="272" t="s"/>
      <c r="N39" s="272" t="s"/>
      <c r="O39" s="272" t="s"/>
      <c r="P39" s="272" t="s"/>
      <c r="Q39" s="272" t="s"/>
      <c r="R39" s="272" t="s"/>
      <c r="S39" s="272" t="s"/>
      <c r="T39" s="272" t="s"/>
      <c r="U39" s="272" t="s"/>
      <c r="V39" s="272" t="s"/>
      <c r="W39" s="272" t="s"/>
      <c r="X39" s="272" t="s"/>
      <c r="Y39" s="272" t="s"/>
    </row>
    <row r="40" spans="1:25" s="296" customFormat="true">
      <c r="A40" s="267" t="s">
        <v>186</v>
      </c>
      <c r="B40" s="277" t="s">
        <v>599</v>
      </c>
      <c r="C40" s="268" t="s">
        <v>503</v>
      </c>
      <c r="D40" s="269" t="s">
        <v>503</v>
      </c>
      <c r="E40" s="268" t="s"/>
      <c r="F40" s="269" t="s"/>
      <c r="G40" s="269" t="s"/>
      <c r="H40" s="268" t="s"/>
      <c r="I40" s="269" t="s"/>
      <c r="J40" s="269" t="s"/>
      <c r="K40" s="269" t="s"/>
      <c r="L40" s="269" t="s"/>
      <c r="M40" s="269" t="s"/>
      <c r="N40" s="269" t="s"/>
      <c r="O40" s="269" t="s"/>
      <c r="P40" s="269" t="s"/>
      <c r="Q40" s="269" t="s"/>
      <c r="R40" s="269" t="s"/>
      <c r="S40" s="269" t="s"/>
      <c r="T40" s="269" t="s"/>
      <c r="U40" s="269" t="s"/>
      <c r="V40" s="269" t="s"/>
      <c r="W40" s="269" t="s"/>
      <c r="X40" s="269" t="s"/>
      <c r="Y40" s="269" t="s"/>
    </row>
    <row r="41" spans="1:25">
      <c r="A41" s="270" t="s">
        <v>169</v>
      </c>
      <c r="B41" s="273" t="s">
        <v>600</v>
      </c>
      <c r="C41" s="271" t="s">
        <v>503</v>
      </c>
      <c r="D41" s="272" t="s">
        <v>503</v>
      </c>
      <c r="E41" s="271" t="s"/>
      <c r="F41" s="272" t="s"/>
      <c r="G41" s="272" t="s"/>
      <c r="H41" s="271" t="s"/>
      <c r="I41" s="272" t="s"/>
      <c r="J41" s="272" t="s"/>
      <c r="K41" s="272" t="s"/>
      <c r="L41" s="272" t="s"/>
      <c r="M41" s="272" t="s"/>
      <c r="N41" s="272" t="s"/>
      <c r="O41" s="272" t="s"/>
      <c r="P41" s="272" t="s"/>
      <c r="Q41" s="272" t="s"/>
      <c r="R41" s="272" t="s"/>
      <c r="S41" s="272" t="s"/>
      <c r="T41" s="272" t="s"/>
      <c r="U41" s="272" t="s"/>
      <c r="V41" s="272" t="s"/>
      <c r="W41" s="272" t="s"/>
      <c r="X41" s="272" t="s"/>
      <c r="Y41" s="272" t="s"/>
    </row>
    <row r="42" spans="1:25">
      <c r="A42" s="272" t="s"/>
      <c r="B42" s="272" t="s"/>
      <c r="C42" s="271" t="s"/>
      <c r="D42" s="272" t="s"/>
      <c r="E42" s="271" t="s"/>
      <c r="F42" s="272" t="s"/>
      <c r="G42" s="272" t="s"/>
      <c r="H42" s="271" t="s"/>
      <c r="I42" s="272" t="s"/>
      <c r="J42" s="272" t="s"/>
      <c r="K42" s="272" t="s"/>
      <c r="L42" s="272" t="s"/>
      <c r="M42" s="272" t="s"/>
      <c r="N42" s="272" t="s"/>
      <c r="O42" s="272" t="s"/>
      <c r="P42" s="272" t="s"/>
      <c r="Q42" s="272" t="s"/>
      <c r="R42" s="272" t="s"/>
      <c r="S42" s="272" t="s"/>
      <c r="T42" s="272" t="s"/>
      <c r="U42" s="272" t="s"/>
      <c r="V42" s="272" t="s"/>
      <c r="W42" s="272" t="s"/>
      <c r="X42" s="272" t="s"/>
      <c r="Y42" s="272" t="s"/>
    </row>
    <row r="43" spans="1:25">
      <c r="A43" s="272" t="s"/>
      <c r="B43" s="272" t="s"/>
      <c r="C43" s="271" t="s"/>
      <c r="D43" s="272" t="s"/>
      <c r="E43" s="271" t="s"/>
      <c r="F43" s="272" t="s"/>
      <c r="G43" s="272" t="s"/>
      <c r="H43" s="271" t="s"/>
      <c r="I43" s="272" t="s"/>
      <c r="J43" s="272" t="s"/>
      <c r="K43" s="272" t="s"/>
      <c r="L43" s="272" t="s"/>
      <c r="M43" s="272" t="s"/>
      <c r="N43" s="272" t="s"/>
      <c r="O43" s="272" t="s"/>
      <c r="P43" s="272" t="s"/>
      <c r="Q43" s="272" t="s"/>
      <c r="R43" s="272" t="s"/>
      <c r="S43" s="272" t="s"/>
      <c r="T43" s="272" t="s"/>
      <c r="U43" s="272" t="s"/>
      <c r="V43" s="272" t="s"/>
      <c r="W43" s="272" t="s"/>
      <c r="X43" s="272" t="s"/>
      <c r="Y43" s="272" t="s"/>
    </row>
    <row r="44" spans="1:25">
      <c r="A44" s="272" t="s"/>
      <c r="B44" s="272" t="s"/>
      <c r="C44" s="271" t="s"/>
      <c r="D44" s="272" t="s"/>
      <c r="E44" s="271" t="s"/>
      <c r="F44" s="272" t="s"/>
      <c r="G44" s="272" t="s"/>
      <c r="H44" s="271" t="s"/>
      <c r="I44" s="272" t="s"/>
      <c r="J44" s="272" t="s"/>
      <c r="K44" s="272" t="s"/>
      <c r="L44" s="272" t="s"/>
      <c r="M44" s="272" t="s"/>
      <c r="N44" s="272" t="s"/>
      <c r="O44" s="272" t="s"/>
      <c r="P44" s="272" t="s"/>
      <c r="Q44" s="272" t="s"/>
      <c r="R44" s="272" t="s"/>
      <c r="S44" s="272" t="s"/>
      <c r="T44" s="272" t="s"/>
      <c r="U44" s="272" t="s"/>
      <c r="V44" s="272" t="s"/>
      <c r="W44" s="272" t="s"/>
      <c r="X44" s="272" t="s"/>
      <c r="Y44" s="272" t="s"/>
    </row>
    <row r="45" spans="1:25">
      <c r="A45" s="272" t="s"/>
      <c r="B45" s="272" t="s"/>
      <c r="C45" s="271" t="s"/>
      <c r="D45" s="272" t="s"/>
      <c r="E45" s="271" t="s"/>
      <c r="F45" s="272" t="s"/>
      <c r="G45" s="272" t="s"/>
      <c r="H45" s="271" t="s"/>
      <c r="I45" s="272" t="s"/>
      <c r="J45" s="272" t="s"/>
      <c r="K45" s="272" t="s"/>
      <c r="L45" s="272" t="s"/>
      <c r="M45" s="272" t="s"/>
      <c r="N45" s="272" t="s"/>
      <c r="O45" s="272" t="s"/>
      <c r="P45" s="272" t="s"/>
      <c r="Q45" s="272" t="s"/>
      <c r="R45" s="272" t="s"/>
      <c r="S45" s="272" t="s"/>
      <c r="T45" s="272" t="s"/>
      <c r="U45" s="272" t="s"/>
      <c r="V45" s="272" t="s"/>
      <c r="W45" s="272" t="s"/>
      <c r="X45" s="272" t="s"/>
      <c r="Y45" s="272" t="s"/>
    </row>
    <row r="46" spans="1:25">
      <c r="A46" s="272" t="s"/>
      <c r="B46" s="272" t="s"/>
      <c r="C46" s="271" t="s"/>
      <c r="D46" s="272" t="s"/>
      <c r="E46" s="271" t="s"/>
      <c r="F46" s="272" t="s"/>
      <c r="G46" s="272" t="s"/>
      <c r="H46" s="271" t="s"/>
      <c r="I46" s="272" t="s"/>
      <c r="J46" s="272" t="s"/>
      <c r="K46" s="272" t="s"/>
      <c r="L46" s="272" t="s"/>
      <c r="M46" s="272" t="s"/>
      <c r="N46" s="272" t="s"/>
      <c r="O46" s="272" t="s"/>
      <c r="P46" s="272" t="s"/>
      <c r="Q46" s="272" t="s"/>
      <c r="R46" s="272" t="s"/>
      <c r="S46" s="272" t="s"/>
      <c r="T46" s="272" t="s"/>
      <c r="U46" s="272" t="s"/>
      <c r="V46" s="272" t="s"/>
      <c r="W46" s="272" t="s"/>
      <c r="X46" s="272" t="s"/>
      <c r="Y46" s="272" t="s"/>
    </row>
    <row r="47" spans="1:25">
      <c r="A47" s="272" t="s"/>
      <c r="B47" s="272" t="s"/>
      <c r="C47" s="271" t="s"/>
      <c r="D47" s="272" t="s"/>
      <c r="E47" s="271" t="s"/>
      <c r="F47" s="272" t="s"/>
      <c r="G47" s="272" t="s"/>
      <c r="H47" s="271" t="s"/>
      <c r="I47" s="272" t="s"/>
      <c r="J47" s="272" t="s"/>
      <c r="K47" s="272" t="s"/>
      <c r="L47" s="272" t="s"/>
      <c r="M47" s="272" t="s"/>
      <c r="N47" s="272" t="s"/>
      <c r="O47" s="272" t="s"/>
      <c r="P47" s="272" t="s"/>
      <c r="Q47" s="272" t="s"/>
      <c r="R47" s="272" t="s"/>
      <c r="S47" s="272" t="s"/>
      <c r="T47" s="272" t="s"/>
      <c r="U47" s="272" t="s"/>
      <c r="V47" s="272" t="s"/>
      <c r="W47" s="272" t="s"/>
      <c r="X47" s="272" t="s"/>
      <c r="Y47" s="272" t="s"/>
    </row>
    <row r="48" spans="1:25">
      <c r="A48" s="272" t="s"/>
      <c r="B48" s="272" t="s"/>
      <c r="C48" s="271" t="s"/>
      <c r="D48" s="272" t="s"/>
      <c r="E48" s="271" t="s"/>
      <c r="F48" s="272" t="s"/>
      <c r="G48" s="272" t="s"/>
      <c r="H48" s="271" t="s"/>
      <c r="I48" s="272" t="s"/>
      <c r="J48" s="272" t="s"/>
      <c r="K48" s="272" t="s"/>
      <c r="L48" s="272" t="s"/>
      <c r="M48" s="272" t="s"/>
      <c r="N48" s="272" t="s"/>
      <c r="O48" s="272" t="s"/>
      <c r="P48" s="272" t="s"/>
      <c r="Q48" s="272" t="s"/>
      <c r="R48" s="272" t="s"/>
      <c r="S48" s="272" t="s"/>
      <c r="T48" s="272" t="s"/>
      <c r="U48" s="272" t="s"/>
      <c r="V48" s="272" t="s"/>
      <c r="W48" s="272" t="s"/>
      <c r="X48" s="272" t="s"/>
      <c r="Y48" s="272" t="s"/>
    </row>
    <row r="49" spans="1:25">
      <c r="A49" s="272" t="s"/>
      <c r="B49" s="272" t="s"/>
      <c r="C49" s="271" t="s"/>
      <c r="D49" s="272" t="s"/>
      <c r="E49" s="271" t="s"/>
      <c r="F49" s="272" t="s"/>
      <c r="G49" s="272" t="s"/>
      <c r="H49" s="271" t="s"/>
      <c r="I49" s="272" t="s"/>
      <c r="J49" s="272" t="s"/>
      <c r="K49" s="272" t="s"/>
      <c r="L49" s="272" t="s"/>
      <c r="M49" s="272" t="s"/>
      <c r="N49" s="272" t="s"/>
      <c r="O49" s="272" t="s"/>
      <c r="P49" s="272" t="s"/>
      <c r="Q49" s="272" t="s"/>
      <c r="R49" s="272" t="s"/>
      <c r="S49" s="272" t="s"/>
      <c r="T49" s="272" t="s"/>
      <c r="U49" s="272" t="s"/>
      <c r="V49" s="272" t="s"/>
      <c r="W49" s="272" t="s"/>
      <c r="X49" s="272" t="s"/>
      <c r="Y49" s="272" t="s"/>
    </row>
    <row r="50" spans="1:25">
      <c r="A50" s="272" t="s"/>
      <c r="B50" s="272" t="s"/>
      <c r="C50" s="271" t="s"/>
      <c r="D50" s="272" t="s"/>
      <c r="E50" s="271" t="s"/>
      <c r="F50" s="272" t="s"/>
      <c r="G50" s="272" t="s"/>
      <c r="H50" s="271" t="s"/>
      <c r="I50" s="272" t="s"/>
      <c r="J50" s="272" t="s"/>
      <c r="K50" s="272" t="s"/>
      <c r="L50" s="272" t="s"/>
      <c r="M50" s="272" t="s"/>
      <c r="N50" s="272" t="s"/>
      <c r="O50" s="272" t="s"/>
      <c r="P50" s="272" t="s"/>
      <c r="Q50" s="272" t="s"/>
      <c r="R50" s="272" t="s"/>
      <c r="S50" s="272" t="s"/>
      <c r="T50" s="272" t="s"/>
      <c r="U50" s="272" t="s"/>
      <c r="V50" s="272" t="s"/>
      <c r="W50" s="272" t="s"/>
      <c r="X50" s="272" t="s"/>
      <c r="Y50" s="272" t="s"/>
    </row>
    <row r="51" spans="1:25">
      <c r="A51" s="272" t="s"/>
      <c r="B51" s="272" t="s"/>
      <c r="C51" s="271" t="s"/>
      <c r="D51" s="272" t="s"/>
      <c r="E51" s="271" t="s"/>
      <c r="F51" s="272" t="s"/>
      <c r="G51" s="272" t="s"/>
      <c r="H51" s="271" t="s"/>
      <c r="I51" s="272" t="s"/>
      <c r="J51" s="272" t="s"/>
      <c r="K51" s="272" t="s"/>
      <c r="L51" s="272" t="s"/>
      <c r="M51" s="272" t="s"/>
      <c r="N51" s="272" t="s"/>
      <c r="O51" s="272" t="s"/>
      <c r="P51" s="272" t="s"/>
      <c r="Q51" s="272" t="s"/>
      <c r="R51" s="272" t="s"/>
      <c r="S51" s="272" t="s"/>
      <c r="T51" s="272" t="s"/>
      <c r="U51" s="272" t="s"/>
      <c r="V51" s="272" t="s"/>
      <c r="W51" s="272" t="s"/>
      <c r="X51" s="272" t="s"/>
      <c r="Y51" s="272" t="s"/>
    </row>
    <row r="52" spans="1:25">
      <c r="A52" s="272" t="s"/>
      <c r="B52" s="272" t="s"/>
      <c r="C52" s="271" t="s"/>
      <c r="D52" s="272" t="s"/>
      <c r="E52" s="271" t="s"/>
      <c r="F52" s="272" t="s"/>
      <c r="G52" s="272" t="s"/>
      <c r="H52" s="271" t="s"/>
      <c r="I52" s="272" t="s"/>
      <c r="J52" s="272" t="s"/>
      <c r="K52" s="272" t="s"/>
      <c r="L52" s="272" t="s"/>
      <c r="M52" s="272" t="s"/>
      <c r="N52" s="272" t="s"/>
      <c r="O52" s="272" t="s"/>
      <c r="P52" s="272" t="s"/>
      <c r="Q52" s="272" t="s"/>
      <c r="R52" s="272" t="s"/>
      <c r="S52" s="272" t="s"/>
      <c r="T52" s="272" t="s"/>
      <c r="U52" s="272" t="s"/>
      <c r="V52" s="272" t="s"/>
      <c r="W52" s="272" t="s"/>
      <c r="X52" s="272" t="s"/>
      <c r="Y52" s="272" t="s"/>
    </row>
    <row r="53" spans="1:25">
      <c r="A53" s="272" t="s"/>
      <c r="B53" s="272" t="s"/>
      <c r="C53" s="271" t="s"/>
      <c r="D53" s="272" t="s"/>
      <c r="E53" s="271" t="s"/>
      <c r="F53" s="272" t="s"/>
      <c r="G53" s="272" t="s"/>
      <c r="H53" s="271" t="s"/>
      <c r="I53" s="272" t="s"/>
      <c r="J53" s="272" t="s"/>
      <c r="K53" s="272" t="s"/>
      <c r="L53" s="272" t="s"/>
      <c r="M53" s="272" t="s"/>
      <c r="N53" s="272" t="s"/>
      <c r="O53" s="272" t="s"/>
      <c r="P53" s="272" t="s"/>
      <c r="Q53" s="272" t="s"/>
      <c r="R53" s="272" t="s"/>
      <c r="S53" s="272" t="s"/>
      <c r="T53" s="272" t="s"/>
      <c r="U53" s="272" t="s"/>
      <c r="V53" s="272" t="s"/>
      <c r="W53" s="272" t="s"/>
      <c r="X53" s="272" t="s"/>
      <c r="Y53" s="272" t="s"/>
    </row>
    <row r="54" spans="1:25">
      <c r="A54" s="272" t="s"/>
      <c r="B54" s="272" t="s"/>
      <c r="C54" s="271" t="s"/>
      <c r="D54" s="272" t="s"/>
      <c r="E54" s="271" t="s"/>
      <c r="F54" s="272" t="s"/>
      <c r="G54" s="272" t="s"/>
      <c r="H54" s="271" t="s"/>
      <c r="I54" s="272" t="s"/>
      <c r="J54" s="272" t="s"/>
      <c r="K54" s="272" t="s"/>
      <c r="L54" s="272" t="s"/>
      <c r="M54" s="272" t="s"/>
      <c r="N54" s="272" t="s"/>
      <c r="O54" s="272" t="s"/>
      <c r="P54" s="272" t="s"/>
      <c r="Q54" s="272" t="s"/>
      <c r="R54" s="272" t="s"/>
      <c r="S54" s="272" t="s"/>
      <c r="T54" s="272" t="s"/>
      <c r="U54" s="272" t="s"/>
      <c r="V54" s="272" t="s"/>
      <c r="W54" s="272" t="s"/>
      <c r="X54" s="272" t="s"/>
      <c r="Y54" s="272" t="s"/>
    </row>
    <row r="55" spans="1:25">
      <c r="A55" s="272" t="s"/>
      <c r="B55" s="272" t="s"/>
      <c r="C55" s="271" t="s"/>
      <c r="D55" s="272" t="s"/>
      <c r="E55" s="271" t="s"/>
      <c r="F55" s="272" t="s"/>
      <c r="G55" s="272" t="s"/>
      <c r="H55" s="271" t="s"/>
      <c r="I55" s="272" t="s"/>
      <c r="J55" s="272" t="s"/>
      <c r="K55" s="272" t="s"/>
      <c r="L55" s="272" t="s"/>
      <c r="M55" s="272" t="s"/>
      <c r="N55" s="272" t="s"/>
      <c r="O55" s="272" t="s"/>
      <c r="P55" s="272" t="s"/>
      <c r="Q55" s="272" t="s"/>
      <c r="R55" s="272" t="s"/>
      <c r="S55" s="272" t="s"/>
      <c r="T55" s="272" t="s"/>
      <c r="U55" s="272" t="s"/>
      <c r="V55" s="272" t="s"/>
      <c r="W55" s="272" t="s"/>
      <c r="X55" s="272" t="s"/>
      <c r="Y55" s="272" t="s"/>
    </row>
    <row r="56" spans="1:25">
      <c r="A56" s="272" t="s"/>
      <c r="B56" s="272" t="s"/>
      <c r="C56" s="271" t="s"/>
      <c r="D56" s="272" t="s"/>
      <c r="E56" s="271" t="s"/>
      <c r="F56" s="272" t="s"/>
      <c r="G56" s="272" t="s"/>
      <c r="H56" s="271" t="s"/>
      <c r="I56" s="272" t="s"/>
      <c r="J56" s="272" t="s"/>
      <c r="K56" s="272" t="s"/>
      <c r="L56" s="272" t="s"/>
      <c r="M56" s="272" t="s"/>
      <c r="N56" s="272" t="s"/>
      <c r="O56" s="272" t="s"/>
      <c r="P56" s="272" t="s"/>
      <c r="Q56" s="272" t="s"/>
      <c r="R56" s="272" t="s"/>
      <c r="S56" s="272" t="s"/>
      <c r="T56" s="272" t="s"/>
      <c r="U56" s="272" t="s"/>
      <c r="V56" s="272" t="s"/>
      <c r="W56" s="272" t="s"/>
      <c r="X56" s="272" t="s"/>
      <c r="Y56" s="272" t="s"/>
    </row>
    <row r="57" spans="1:25">
      <c r="A57" s="272" t="s"/>
      <c r="B57" s="272" t="s"/>
      <c r="C57" s="271" t="s"/>
      <c r="D57" s="272" t="s"/>
      <c r="E57" s="271" t="s"/>
      <c r="F57" s="272" t="s"/>
      <c r="G57" s="272" t="s"/>
      <c r="H57" s="271" t="s"/>
      <c r="I57" s="272" t="s"/>
      <c r="J57" s="272" t="s"/>
      <c r="K57" s="272" t="s"/>
      <c r="L57" s="272" t="s"/>
      <c r="M57" s="272" t="s"/>
      <c r="N57" s="272" t="s"/>
      <c r="O57" s="272" t="s"/>
      <c r="P57" s="272" t="s"/>
      <c r="Q57" s="272" t="s"/>
      <c r="R57" s="272" t="s"/>
      <c r="S57" s="272" t="s"/>
      <c r="T57" s="272" t="s"/>
      <c r="U57" s="272" t="s"/>
      <c r="V57" s="272" t="s"/>
      <c r="W57" s="272" t="s"/>
      <c r="X57" s="272" t="s"/>
      <c r="Y57" s="272" t="s"/>
    </row>
    <row r="58" spans="1:25">
      <c r="A58" s="272" t="s"/>
      <c r="B58" s="272" t="s"/>
      <c r="C58" s="271" t="s"/>
      <c r="D58" s="272" t="s"/>
      <c r="E58" s="271" t="s"/>
      <c r="F58" s="272" t="s"/>
      <c r="G58" s="272" t="s"/>
      <c r="H58" s="271" t="s"/>
      <c r="I58" s="272" t="s"/>
      <c r="J58" s="272" t="s"/>
      <c r="K58" s="272" t="s"/>
      <c r="L58" s="272" t="s"/>
      <c r="M58" s="272" t="s"/>
      <c r="N58" s="272" t="s"/>
      <c r="O58" s="272" t="s"/>
      <c r="P58" s="272" t="s"/>
      <c r="Q58" s="272" t="s"/>
      <c r="R58" s="272" t="s"/>
      <c r="S58" s="272" t="s"/>
      <c r="T58" s="272" t="s"/>
      <c r="U58" s="272" t="s"/>
      <c r="V58" s="272" t="s"/>
      <c r="W58" s="272" t="s"/>
      <c r="X58" s="272" t="s"/>
      <c r="Y58" s="272" t="s"/>
    </row>
    <row r="59" spans="1:25">
      <c r="A59" s="272" t="s"/>
      <c r="B59" s="272" t="s"/>
      <c r="C59" s="271" t="s"/>
      <c r="D59" s="272" t="s"/>
      <c r="E59" s="271" t="s"/>
      <c r="F59" s="272" t="s"/>
      <c r="G59" s="272" t="s"/>
      <c r="H59" s="271" t="s"/>
      <c r="I59" s="272" t="s"/>
      <c r="J59" s="272" t="s"/>
      <c r="K59" s="272" t="s"/>
      <c r="L59" s="272" t="s"/>
      <c r="M59" s="272" t="s"/>
      <c r="N59" s="272" t="s"/>
      <c r="O59" s="272" t="s"/>
      <c r="P59" s="272" t="s"/>
      <c r="Q59" s="272" t="s"/>
      <c r="R59" s="272" t="s"/>
      <c r="S59" s="272" t="s"/>
      <c r="T59" s="272" t="s"/>
      <c r="U59" s="272" t="s"/>
      <c r="V59" s="272" t="s"/>
      <c r="W59" s="272" t="s"/>
      <c r="X59" s="272" t="s"/>
      <c r="Y59" s="272" t="s"/>
    </row>
    <row r="60" spans="1:25">
      <c r="A60" s="272" t="s"/>
      <c r="B60" s="272" t="s"/>
      <c r="C60" s="271" t="s"/>
      <c r="D60" s="272" t="s"/>
      <c r="E60" s="271" t="s"/>
      <c r="F60" s="272" t="s"/>
      <c r="G60" s="272" t="s"/>
      <c r="H60" s="271" t="s"/>
      <c r="I60" s="272" t="s"/>
      <c r="J60" s="272" t="s"/>
      <c r="K60" s="272" t="s"/>
      <c r="L60" s="272" t="s"/>
      <c r="M60" s="272" t="s"/>
      <c r="N60" s="272" t="s"/>
      <c r="O60" s="272" t="s"/>
      <c r="P60" s="272" t="s"/>
      <c r="Q60" s="272" t="s"/>
      <c r="R60" s="272" t="s"/>
      <c r="S60" s="272" t="s"/>
      <c r="T60" s="272" t="s"/>
      <c r="U60" s="272" t="s"/>
      <c r="V60" s="272" t="s"/>
      <c r="W60" s="272" t="s"/>
      <c r="X60" s="272" t="s"/>
      <c r="Y60" s="272" t="s"/>
    </row>
    <row r="61" spans="1:25">
      <c r="A61" s="272" t="s"/>
      <c r="B61" s="272" t="s"/>
      <c r="C61" s="271" t="s"/>
      <c r="D61" s="272" t="s"/>
      <c r="E61" s="271" t="s"/>
      <c r="F61" s="272" t="s"/>
      <c r="G61" s="272" t="s"/>
      <c r="H61" s="271" t="s"/>
      <c r="I61" s="272" t="s"/>
      <c r="J61" s="272" t="s"/>
      <c r="K61" s="272" t="s"/>
      <c r="L61" s="272" t="s"/>
      <c r="M61" s="272" t="s"/>
      <c r="N61" s="272" t="s"/>
      <c r="O61" s="272" t="s"/>
      <c r="P61" s="272" t="s"/>
      <c r="Q61" s="272" t="s"/>
      <c r="R61" s="272" t="s"/>
      <c r="S61" s="272" t="s"/>
      <c r="T61" s="272" t="s"/>
      <c r="U61" s="272" t="s"/>
      <c r="V61" s="272" t="s"/>
      <c r="W61" s="272" t="s"/>
      <c r="X61" s="272" t="s"/>
      <c r="Y61" s="272" t="s"/>
    </row>
    <row r="62" spans="1:25">
      <c r="A62" s="272" t="s"/>
      <c r="B62" s="272" t="s"/>
      <c r="C62" s="271" t="s"/>
      <c r="D62" s="272" t="s"/>
      <c r="E62" s="271" t="s"/>
      <c r="F62" s="272" t="s"/>
      <c r="G62" s="272" t="s"/>
      <c r="H62" s="271" t="s"/>
      <c r="I62" s="272" t="s"/>
      <c r="J62" s="272" t="s"/>
      <c r="K62" s="272" t="s"/>
      <c r="L62" s="272" t="s"/>
      <c r="M62" s="272" t="s"/>
      <c r="N62" s="272" t="s"/>
      <c r="O62" s="272" t="s"/>
      <c r="P62" s="272" t="s"/>
      <c r="Q62" s="272" t="s"/>
      <c r="R62" s="272" t="s"/>
      <c r="S62" s="272" t="s"/>
      <c r="T62" s="272" t="s"/>
      <c r="U62" s="272" t="s"/>
      <c r="V62" s="272" t="s"/>
      <c r="W62" s="272" t="s"/>
      <c r="X62" s="272" t="s"/>
      <c r="Y62" s="272" t="s"/>
    </row>
    <row r="63" spans="1:25">
      <c r="A63" s="272" t="s"/>
      <c r="B63" s="272" t="s"/>
      <c r="C63" s="271" t="s"/>
      <c r="D63" s="272" t="s"/>
      <c r="E63" s="271" t="s"/>
      <c r="F63" s="272" t="s"/>
      <c r="G63" s="272" t="s"/>
      <c r="H63" s="271" t="s"/>
      <c r="I63" s="272" t="s"/>
      <c r="J63" s="272" t="s"/>
      <c r="K63" s="272" t="s"/>
      <c r="L63" s="272" t="s"/>
      <c r="M63" s="272" t="s"/>
      <c r="N63" s="272" t="s"/>
      <c r="O63" s="272" t="s"/>
      <c r="P63" s="272" t="s"/>
      <c r="Q63" s="272" t="s"/>
      <c r="R63" s="272" t="s"/>
      <c r="S63" s="272" t="s"/>
      <c r="T63" s="272" t="s"/>
      <c r="U63" s="272" t="s"/>
      <c r="V63" s="272" t="s"/>
      <c r="W63" s="272" t="s"/>
      <c r="X63" s="272" t="s"/>
      <c r="Y63" s="272" t="s"/>
    </row>
    <row r="64" spans="1:25">
      <c r="A64" s="272" t="s"/>
      <c r="B64" s="272" t="s"/>
      <c r="C64" s="271" t="s"/>
      <c r="D64" s="272" t="s"/>
      <c r="E64" s="271" t="s"/>
      <c r="F64" s="272" t="s"/>
      <c r="G64" s="272" t="s"/>
      <c r="H64" s="271" t="s"/>
      <c r="I64" s="272" t="s"/>
      <c r="J64" s="272" t="s"/>
      <c r="K64" s="272" t="s"/>
      <c r="L64" s="272" t="s"/>
      <c r="M64" s="272" t="s"/>
      <c r="N64" s="272" t="s"/>
      <c r="O64" s="272" t="s"/>
      <c r="P64" s="272" t="s"/>
      <c r="Q64" s="272" t="s"/>
      <c r="R64" s="272" t="s"/>
      <c r="S64" s="272" t="s"/>
      <c r="T64" s="272" t="s"/>
      <c r="U64" s="272" t="s"/>
      <c r="V64" s="272" t="s"/>
      <c r="W64" s="272" t="s"/>
      <c r="X64" s="272" t="s"/>
      <c r="Y64" s="272" t="s"/>
    </row>
    <row r="65" spans="1:25">
      <c r="A65" s="272" t="s"/>
      <c r="B65" s="272" t="s"/>
      <c r="C65" s="271" t="s"/>
      <c r="D65" s="272" t="s"/>
      <c r="E65" s="271" t="s"/>
      <c r="F65" s="272" t="s"/>
      <c r="G65" s="272" t="s"/>
      <c r="H65" s="271" t="s"/>
      <c r="I65" s="272" t="s"/>
      <c r="J65" s="272" t="s"/>
      <c r="K65" s="272" t="s"/>
      <c r="L65" s="272" t="s"/>
      <c r="M65" s="272" t="s"/>
      <c r="N65" s="272" t="s"/>
      <c r="O65" s="272" t="s"/>
      <c r="P65" s="272" t="s"/>
      <c r="Q65" s="272" t="s"/>
      <c r="R65" s="272" t="s"/>
      <c r="S65" s="272" t="s"/>
      <c r="T65" s="272" t="s"/>
      <c r="U65" s="272" t="s"/>
      <c r="V65" s="272" t="s"/>
      <c r="W65" s="272" t="s"/>
      <c r="X65" s="272" t="s"/>
      <c r="Y65" s="272" t="s"/>
    </row>
    <row r="66" spans="1:25">
      <c r="A66" s="272" t="s"/>
      <c r="B66" s="272" t="s"/>
      <c r="C66" s="271" t="s"/>
      <c r="D66" s="272" t="s"/>
      <c r="E66" s="271" t="s"/>
      <c r="F66" s="272" t="s"/>
      <c r="G66" s="272" t="s"/>
      <c r="H66" s="271" t="s"/>
      <c r="I66" s="272" t="s"/>
      <c r="J66" s="272" t="s"/>
      <c r="K66" s="272" t="s"/>
      <c r="L66" s="272" t="s"/>
      <c r="M66" s="272" t="s"/>
      <c r="N66" s="272" t="s"/>
      <c r="O66" s="272" t="s"/>
      <c r="P66" s="272" t="s"/>
      <c r="Q66" s="272" t="s"/>
      <c r="R66" s="272" t="s"/>
      <c r="S66" s="272" t="s"/>
      <c r="T66" s="272" t="s"/>
      <c r="U66" s="272" t="s"/>
      <c r="V66" s="272" t="s"/>
      <c r="W66" s="272" t="s"/>
      <c r="X66" s="272" t="s"/>
      <c r="Y66" s="272" t="s"/>
    </row>
    <row r="67" spans="1:25">
      <c r="A67" s="272" t="s"/>
      <c r="B67" s="272" t="s"/>
      <c r="C67" s="271" t="s"/>
      <c r="D67" s="272" t="s"/>
      <c r="E67" s="271" t="s"/>
      <c r="F67" s="272" t="s"/>
      <c r="G67" s="272" t="s"/>
      <c r="H67" s="271" t="s"/>
      <c r="I67" s="272" t="s"/>
      <c r="J67" s="272" t="s"/>
      <c r="K67" s="272" t="s"/>
      <c r="L67" s="272" t="s"/>
      <c r="M67" s="272" t="s"/>
      <c r="N67" s="272" t="s"/>
      <c r="O67" s="272" t="s"/>
      <c r="P67" s="272" t="s"/>
      <c r="Q67" s="272" t="s"/>
      <c r="R67" s="272" t="s"/>
      <c r="S67" s="272" t="s"/>
      <c r="T67" s="272" t="s"/>
      <c r="U67" s="272" t="s"/>
      <c r="V67" s="272" t="s"/>
      <c r="W67" s="272" t="s"/>
      <c r="X67" s="272" t="s"/>
      <c r="Y67" s="272" t="s"/>
    </row>
    <row r="68" spans="1:25">
      <c r="A68" s="272" t="s"/>
      <c r="B68" s="272" t="s"/>
      <c r="C68" s="271" t="s"/>
      <c r="D68" s="272" t="s"/>
      <c r="E68" s="271" t="s"/>
      <c r="F68" s="272" t="s"/>
      <c r="G68" s="272" t="s"/>
      <c r="H68" s="271" t="s"/>
      <c r="I68" s="272" t="s"/>
      <c r="J68" s="272" t="s"/>
      <c r="K68" s="272" t="s"/>
      <c r="L68" s="272" t="s"/>
      <c r="M68" s="272" t="s"/>
      <c r="N68" s="272" t="s"/>
      <c r="O68" s="272" t="s"/>
      <c r="P68" s="272" t="s"/>
      <c r="Q68" s="272" t="s"/>
      <c r="R68" s="272" t="s"/>
      <c r="S68" s="272" t="s"/>
      <c r="T68" s="272" t="s"/>
      <c r="U68" s="272" t="s"/>
      <c r="V68" s="272" t="s"/>
      <c r="W68" s="272" t="s"/>
      <c r="X68" s="272" t="s"/>
      <c r="Y68" s="272" t="s"/>
    </row>
    <row r="69" spans="1:25">
      <c r="A69" s="272" t="s"/>
      <c r="B69" s="272" t="s"/>
      <c r="C69" s="271" t="s"/>
      <c r="D69" s="272" t="s"/>
      <c r="E69" s="271" t="s"/>
      <c r="F69" s="272" t="s"/>
      <c r="G69" s="272" t="s"/>
      <c r="H69" s="271" t="s"/>
      <c r="I69" s="272" t="s"/>
      <c r="J69" s="272" t="s"/>
      <c r="K69" s="272" t="s"/>
      <c r="L69" s="272" t="s"/>
      <c r="M69" s="272" t="s"/>
      <c r="N69" s="272" t="s"/>
      <c r="O69" s="272" t="s"/>
      <c r="P69" s="272" t="s"/>
      <c r="Q69" s="272" t="s"/>
      <c r="R69" s="272" t="s"/>
      <c r="S69" s="272" t="s"/>
      <c r="T69" s="272" t="s"/>
      <c r="U69" s="272" t="s"/>
      <c r="V69" s="272" t="s"/>
      <c r="W69" s="272" t="s"/>
      <c r="X69" s="272" t="s"/>
      <c r="Y69" s="272" t="s"/>
    </row>
    <row r="70" spans="1:25">
      <c r="A70" s="272" t="s"/>
      <c r="B70" s="272" t="s"/>
      <c r="C70" s="271" t="s"/>
      <c r="D70" s="272" t="s"/>
      <c r="E70" s="271" t="s"/>
      <c r="F70" s="272" t="s"/>
      <c r="G70" s="272" t="s"/>
      <c r="H70" s="271" t="s"/>
      <c r="I70" s="272" t="s"/>
      <c r="J70" s="272" t="s"/>
      <c r="K70" s="272" t="s"/>
      <c r="L70" s="272" t="s"/>
      <c r="M70" s="272" t="s"/>
      <c r="N70" s="272" t="s"/>
      <c r="O70" s="272" t="s"/>
      <c r="P70" s="272" t="s"/>
      <c r="Q70" s="272" t="s"/>
      <c r="R70" s="272" t="s"/>
      <c r="S70" s="272" t="s"/>
      <c r="T70" s="272" t="s"/>
      <c r="U70" s="272" t="s"/>
      <c r="V70" s="272" t="s"/>
      <c r="W70" s="272" t="s"/>
      <c r="X70" s="272" t="s"/>
      <c r="Y70" s="272" t="s"/>
    </row>
    <row r="71" spans="1:25">
      <c r="A71" s="272" t="s"/>
      <c r="B71" s="272" t="s"/>
      <c r="C71" s="271" t="s"/>
      <c r="D71" s="272" t="s"/>
      <c r="E71" s="271" t="s"/>
      <c r="F71" s="272" t="s"/>
      <c r="G71" s="272" t="s"/>
      <c r="H71" s="271" t="s"/>
      <c r="I71" s="272" t="s"/>
      <c r="J71" s="272" t="s"/>
      <c r="K71" s="272" t="s"/>
      <c r="L71" s="272" t="s"/>
      <c r="M71" s="272" t="s"/>
      <c r="N71" s="272" t="s"/>
      <c r="O71" s="272" t="s"/>
      <c r="P71" s="272" t="s"/>
      <c r="Q71" s="272" t="s"/>
      <c r="R71" s="272" t="s"/>
      <c r="S71" s="272" t="s"/>
      <c r="T71" s="272" t="s"/>
      <c r="U71" s="272" t="s"/>
      <c r="V71" s="272" t="s"/>
      <c r="W71" s="272" t="s"/>
      <c r="X71" s="272" t="s"/>
      <c r="Y71" s="272" t="s"/>
    </row>
    <row r="72" spans="1:25">
      <c r="A72" s="272" t="s"/>
      <c r="B72" s="272" t="s"/>
      <c r="C72" s="271" t="s"/>
      <c r="D72" s="272" t="s"/>
      <c r="E72" s="271" t="s"/>
      <c r="F72" s="272" t="s"/>
      <c r="G72" s="272" t="s"/>
      <c r="H72" s="271" t="s"/>
      <c r="I72" s="272" t="s"/>
      <c r="J72" s="272" t="s"/>
      <c r="K72" s="272" t="s"/>
      <c r="L72" s="272" t="s"/>
      <c r="M72" s="272" t="s"/>
      <c r="N72" s="272" t="s"/>
      <c r="O72" s="272" t="s"/>
      <c r="P72" s="272" t="s"/>
      <c r="Q72" s="272" t="s"/>
      <c r="R72" s="272" t="s"/>
      <c r="S72" s="272" t="s"/>
      <c r="T72" s="272" t="s"/>
      <c r="U72" s="272" t="s"/>
      <c r="V72" s="272" t="s"/>
      <c r="W72" s="272" t="s"/>
      <c r="X72" s="272" t="s"/>
      <c r="Y72" s="272" t="s"/>
    </row>
    <row r="73" spans="1:25">
      <c r="A73" s="272" t="s"/>
      <c r="B73" s="272" t="s"/>
      <c r="C73" s="271" t="s"/>
      <c r="D73" s="272" t="s"/>
      <c r="E73" s="271" t="s"/>
      <c r="F73" s="272" t="s"/>
      <c r="G73" s="272" t="s"/>
      <c r="H73" s="271" t="s"/>
      <c r="I73" s="272" t="s"/>
      <c r="J73" s="272" t="s"/>
      <c r="K73" s="272" t="s"/>
      <c r="L73" s="272" t="s"/>
      <c r="M73" s="272" t="s"/>
      <c r="N73" s="272" t="s"/>
      <c r="O73" s="272" t="s"/>
      <c r="P73" s="272" t="s"/>
      <c r="Q73" s="272" t="s"/>
      <c r="R73" s="272" t="s"/>
      <c r="S73" s="272" t="s"/>
      <c r="T73" s="272" t="s"/>
      <c r="U73" s="272" t="s"/>
      <c r="V73" s="272" t="s"/>
      <c r="W73" s="272" t="s"/>
      <c r="X73" s="272" t="s"/>
      <c r="Y73" s="272" t="s"/>
    </row>
    <row r="74" spans="1:25">
      <c r="A74" s="272" t="s"/>
      <c r="B74" s="272" t="s"/>
      <c r="C74" s="271" t="s"/>
      <c r="D74" s="272" t="s"/>
      <c r="E74" s="271" t="s"/>
      <c r="F74" s="272" t="s"/>
      <c r="G74" s="272" t="s"/>
      <c r="H74" s="271" t="s"/>
      <c r="I74" s="272" t="s"/>
      <c r="J74" s="272" t="s"/>
      <c r="K74" s="272" t="s"/>
      <c r="L74" s="272" t="s"/>
      <c r="M74" s="272" t="s"/>
      <c r="N74" s="272" t="s"/>
      <c r="O74" s="272" t="s"/>
      <c r="P74" s="272" t="s"/>
      <c r="Q74" s="272" t="s"/>
      <c r="R74" s="272" t="s"/>
      <c r="S74" s="272" t="s"/>
      <c r="T74" s="272" t="s"/>
      <c r="U74" s="272" t="s"/>
      <c r="V74" s="272" t="s"/>
      <c r="W74" s="272" t="s"/>
      <c r="X74" s="272" t="s"/>
      <c r="Y74" s="272" t="s"/>
    </row>
    <row r="75" spans="1:25">
      <c r="A75" s="272" t="s"/>
      <c r="B75" s="272" t="s"/>
      <c r="C75" s="271" t="s"/>
      <c r="D75" s="272" t="s"/>
      <c r="E75" s="271" t="s"/>
      <c r="F75" s="272" t="s"/>
      <c r="G75" s="272" t="s"/>
      <c r="H75" s="271" t="s"/>
      <c r="I75" s="272" t="s"/>
      <c r="J75" s="272" t="s"/>
      <c r="K75" s="272" t="s"/>
      <c r="L75" s="272" t="s"/>
      <c r="M75" s="272" t="s"/>
      <c r="N75" s="272" t="s"/>
      <c r="O75" s="272" t="s"/>
      <c r="P75" s="272" t="s"/>
      <c r="Q75" s="272" t="s"/>
      <c r="R75" s="272" t="s"/>
      <c r="S75" s="272" t="s"/>
      <c r="T75" s="272" t="s"/>
      <c r="U75" s="272" t="s"/>
      <c r="V75" s="272" t="s"/>
      <c r="W75" s="272" t="s"/>
      <c r="X75" s="272" t="s"/>
      <c r="Y75" s="272" t="s"/>
    </row>
    <row r="76" spans="1:25">
      <c r="A76" s="272" t="s"/>
      <c r="B76" s="272" t="s"/>
      <c r="C76" s="271" t="s"/>
      <c r="D76" s="272" t="s"/>
      <c r="E76" s="271" t="s"/>
      <c r="F76" s="272" t="s"/>
      <c r="G76" s="272" t="s"/>
      <c r="H76" s="271" t="s"/>
      <c r="I76" s="272" t="s"/>
      <c r="J76" s="272" t="s"/>
      <c r="K76" s="272" t="s"/>
      <c r="L76" s="272" t="s"/>
      <c r="M76" s="272" t="s"/>
      <c r="N76" s="272" t="s"/>
      <c r="O76" s="272" t="s"/>
      <c r="P76" s="272" t="s"/>
      <c r="Q76" s="272" t="s"/>
      <c r="R76" s="272" t="s"/>
      <c r="S76" s="272" t="s"/>
      <c r="T76" s="272" t="s"/>
      <c r="U76" s="272" t="s"/>
      <c r="V76" s="272" t="s"/>
      <c r="W76" s="272" t="s"/>
      <c r="X76" s="272" t="s"/>
      <c r="Y76" s="272" t="s"/>
    </row>
    <row r="77" spans="1:25">
      <c r="A77" s="272" t="s"/>
      <c r="B77" s="272" t="s"/>
      <c r="C77" s="271" t="s"/>
      <c r="D77" s="272" t="s"/>
      <c r="E77" s="271" t="s"/>
      <c r="F77" s="272" t="s"/>
      <c r="G77" s="272" t="s"/>
      <c r="H77" s="271" t="s"/>
      <c r="I77" s="272" t="s"/>
      <c r="J77" s="272" t="s"/>
      <c r="K77" s="272" t="s"/>
      <c r="L77" s="272" t="s"/>
      <c r="M77" s="272" t="s"/>
      <c r="N77" s="272" t="s"/>
      <c r="O77" s="272" t="s"/>
      <c r="P77" s="272" t="s"/>
      <c r="Q77" s="272" t="s"/>
      <c r="R77" s="272" t="s"/>
      <c r="S77" s="272" t="s"/>
      <c r="T77" s="272" t="s"/>
      <c r="U77" s="272" t="s"/>
      <c r="V77" s="272" t="s"/>
      <c r="W77" s="272" t="s"/>
      <c r="X77" s="272" t="s"/>
      <c r="Y77" s="272" t="s"/>
    </row>
    <row r="78" spans="1:25">
      <c r="A78" s="272" t="s"/>
      <c r="B78" s="272" t="s"/>
      <c r="C78" s="271" t="s"/>
      <c r="D78" s="272" t="s"/>
      <c r="E78" s="271" t="s"/>
      <c r="F78" s="272" t="s"/>
      <c r="G78" s="272" t="s"/>
      <c r="H78" s="271" t="s"/>
      <c r="I78" s="272" t="s"/>
      <c r="J78" s="272" t="s"/>
      <c r="K78" s="272" t="s"/>
      <c r="L78" s="272" t="s"/>
      <c r="M78" s="272" t="s"/>
      <c r="N78" s="272" t="s"/>
      <c r="O78" s="272" t="s"/>
      <c r="P78" s="272" t="s"/>
      <c r="Q78" s="272" t="s"/>
      <c r="R78" s="272" t="s"/>
      <c r="S78" s="272" t="s"/>
      <c r="T78" s="272" t="s"/>
      <c r="U78" s="272" t="s"/>
      <c r="V78" s="272" t="s"/>
      <c r="W78" s="272" t="s"/>
      <c r="X78" s="272" t="s"/>
      <c r="Y78" s="272" t="s"/>
    </row>
    <row r="79" spans="1:25">
      <c r="A79" s="272" t="s"/>
      <c r="B79" s="272" t="s"/>
      <c r="C79" s="271" t="s"/>
      <c r="D79" s="272" t="s"/>
      <c r="E79" s="271" t="s"/>
      <c r="F79" s="272" t="s"/>
      <c r="G79" s="272" t="s"/>
      <c r="H79" s="271" t="s"/>
      <c r="I79" s="272" t="s"/>
      <c r="J79" s="272" t="s"/>
      <c r="K79" s="272" t="s"/>
      <c r="L79" s="272" t="s"/>
      <c r="M79" s="272" t="s"/>
      <c r="N79" s="272" t="s"/>
      <c r="O79" s="272" t="s"/>
      <c r="P79" s="272" t="s"/>
      <c r="Q79" s="272" t="s"/>
      <c r="R79" s="272" t="s"/>
      <c r="S79" s="272" t="s"/>
      <c r="T79" s="272" t="s"/>
      <c r="U79" s="272" t="s"/>
      <c r="V79" s="272" t="s"/>
      <c r="W79" s="272" t="s"/>
      <c r="X79" s="272" t="s"/>
      <c r="Y79" s="272" t="s"/>
    </row>
    <row r="80" spans="1:25">
      <c r="A80" s="272" t="s"/>
      <c r="B80" s="272" t="s"/>
      <c r="C80" s="271" t="s"/>
      <c r="D80" s="272" t="s"/>
      <c r="E80" s="271" t="s"/>
      <c r="F80" s="272" t="s"/>
      <c r="G80" s="272" t="s"/>
      <c r="H80" s="271" t="s"/>
      <c r="I80" s="272" t="s"/>
      <c r="J80" s="272" t="s"/>
      <c r="K80" s="272" t="s"/>
      <c r="L80" s="272" t="s"/>
      <c r="M80" s="272" t="s"/>
      <c r="N80" s="272" t="s"/>
      <c r="O80" s="272" t="s"/>
      <c r="P80" s="272" t="s"/>
      <c r="Q80" s="272" t="s"/>
      <c r="R80" s="272" t="s"/>
      <c r="S80" s="272" t="s"/>
      <c r="T80" s="272" t="s"/>
      <c r="U80" s="272" t="s"/>
      <c r="V80" s="272" t="s"/>
      <c r="W80" s="272" t="s"/>
      <c r="X80" s="272" t="s"/>
      <c r="Y80" s="272" t="s"/>
    </row>
    <row r="81" spans="1:25">
      <c r="A81" s="272" t="s"/>
      <c r="B81" s="272" t="s"/>
      <c r="C81" s="271" t="s"/>
      <c r="D81" s="272" t="s"/>
      <c r="E81" s="271" t="s"/>
      <c r="F81" s="272" t="s"/>
      <c r="G81" s="272" t="s"/>
      <c r="H81" s="271" t="s"/>
      <c r="I81" s="272" t="s"/>
      <c r="J81" s="272" t="s"/>
      <c r="K81" s="272" t="s"/>
      <c r="L81" s="272" t="s"/>
      <c r="M81" s="272" t="s"/>
      <c r="N81" s="272" t="s"/>
      <c r="O81" s="272" t="s"/>
      <c r="P81" s="272" t="s"/>
      <c r="Q81" s="272" t="s"/>
      <c r="R81" s="272" t="s"/>
      <c r="S81" s="272" t="s"/>
      <c r="T81" s="272" t="s"/>
      <c r="U81" s="272" t="s"/>
      <c r="V81" s="272" t="s"/>
      <c r="W81" s="272" t="s"/>
      <c r="X81" s="272" t="s"/>
      <c r="Y81" s="272" t="s"/>
    </row>
    <row r="82" spans="1:25">
      <c r="A82" s="272" t="s"/>
      <c r="B82" s="272" t="s"/>
      <c r="C82" s="271" t="s"/>
      <c r="D82" s="272" t="s"/>
      <c r="E82" s="271" t="s"/>
      <c r="F82" s="272" t="s"/>
      <c r="G82" s="272" t="s"/>
      <c r="H82" s="271" t="s"/>
      <c r="I82" s="272" t="s"/>
      <c r="J82" s="272" t="s"/>
      <c r="K82" s="272" t="s"/>
      <c r="L82" s="272" t="s"/>
      <c r="M82" s="272" t="s"/>
      <c r="N82" s="272" t="s"/>
      <c r="O82" s="272" t="s"/>
      <c r="P82" s="272" t="s"/>
      <c r="Q82" s="272" t="s"/>
      <c r="R82" s="272" t="s"/>
      <c r="S82" s="272" t="s"/>
      <c r="T82" s="272" t="s"/>
      <c r="U82" s="272" t="s"/>
      <c r="V82" s="272" t="s"/>
      <c r="W82" s="272" t="s"/>
      <c r="X82" s="272" t="s"/>
      <c r="Y82" s="272" t="s"/>
    </row>
    <row r="83" spans="1:25">
      <c r="A83" s="272" t="s"/>
      <c r="B83" s="272" t="s"/>
      <c r="C83" s="271" t="s"/>
      <c r="D83" s="272" t="s"/>
      <c r="E83" s="271" t="s"/>
      <c r="F83" s="272" t="s"/>
      <c r="G83" s="272" t="s"/>
      <c r="H83" s="271" t="s"/>
      <c r="I83" s="272" t="s"/>
      <c r="J83" s="272" t="s"/>
      <c r="K83" s="272" t="s"/>
      <c r="L83" s="272" t="s"/>
      <c r="M83" s="272" t="s"/>
      <c r="N83" s="272" t="s"/>
      <c r="O83" s="272" t="s"/>
      <c r="P83" s="272" t="s"/>
      <c r="Q83" s="272" t="s"/>
      <c r="R83" s="272" t="s"/>
      <c r="S83" s="272" t="s"/>
      <c r="T83" s="272" t="s"/>
      <c r="U83" s="272" t="s"/>
      <c r="V83" s="272" t="s"/>
      <c r="W83" s="272" t="s"/>
      <c r="X83" s="272" t="s"/>
      <c r="Y83" s="272" t="s"/>
    </row>
    <row r="84" spans="1:25">
      <c r="A84" s="272" t="s"/>
      <c r="B84" s="272" t="s"/>
      <c r="C84" s="271" t="s"/>
      <c r="D84" s="272" t="s"/>
      <c r="E84" s="271" t="s"/>
      <c r="F84" s="272" t="s"/>
      <c r="G84" s="272" t="s"/>
      <c r="H84" s="271" t="s"/>
      <c r="I84" s="272" t="s"/>
      <c r="J84" s="272" t="s"/>
      <c r="K84" s="272" t="s"/>
      <c r="L84" s="272" t="s"/>
      <c r="M84" s="272" t="s"/>
      <c r="N84" s="272" t="s"/>
      <c r="O84" s="272" t="s"/>
      <c r="P84" s="272" t="s"/>
      <c r="Q84" s="272" t="s"/>
      <c r="R84" s="272" t="s"/>
      <c r="S84" s="272" t="s"/>
      <c r="T84" s="272" t="s"/>
      <c r="U84" s="272" t="s"/>
      <c r="V84" s="272" t="s"/>
      <c r="W84" s="272" t="s"/>
      <c r="X84" s="272" t="s"/>
      <c r="Y84" s="272" t="s"/>
    </row>
    <row r="85" spans="1:25">
      <c r="A85" s="272" t="s"/>
      <c r="B85" s="272" t="s"/>
      <c r="C85" s="271" t="s"/>
      <c r="D85" s="272" t="s"/>
      <c r="E85" s="271" t="s"/>
      <c r="F85" s="272" t="s"/>
      <c r="G85" s="272" t="s"/>
      <c r="H85" s="271" t="s"/>
      <c r="I85" s="272" t="s"/>
      <c r="J85" s="272" t="s"/>
      <c r="K85" s="272" t="s"/>
      <c r="L85" s="272" t="s"/>
      <c r="M85" s="272" t="s"/>
      <c r="N85" s="272" t="s"/>
      <c r="O85" s="272" t="s"/>
      <c r="P85" s="272" t="s"/>
      <c r="Q85" s="272" t="s"/>
      <c r="R85" s="272" t="s"/>
      <c r="S85" s="272" t="s"/>
      <c r="T85" s="272" t="s"/>
      <c r="U85" s="272" t="s"/>
      <c r="V85" s="272" t="s"/>
      <c r="W85" s="272" t="s"/>
      <c r="X85" s="272" t="s"/>
      <c r="Y85" s="272" t="s"/>
    </row>
    <row r="86" spans="1:25">
      <c r="A86" s="272" t="s"/>
      <c r="B86" s="272" t="s"/>
      <c r="C86" s="271" t="s"/>
      <c r="D86" s="272" t="s"/>
      <c r="E86" s="271" t="s"/>
      <c r="F86" s="272" t="s"/>
      <c r="G86" s="272" t="s"/>
      <c r="H86" s="271" t="s"/>
      <c r="I86" s="272" t="s"/>
      <c r="J86" s="272" t="s"/>
      <c r="K86" s="272" t="s"/>
      <c r="L86" s="272" t="s"/>
      <c r="M86" s="272" t="s"/>
      <c r="N86" s="272" t="s"/>
      <c r="O86" s="272" t="s"/>
      <c r="P86" s="272" t="s"/>
      <c r="Q86" s="272" t="s"/>
      <c r="R86" s="272" t="s"/>
      <c r="S86" s="272" t="s"/>
      <c r="T86" s="272" t="s"/>
      <c r="U86" s="272" t="s"/>
      <c r="V86" s="272" t="s"/>
      <c r="W86" s="272" t="s"/>
      <c r="X86" s="272" t="s"/>
      <c r="Y86" s="272" t="s"/>
    </row>
    <row r="87" spans="1:25">
      <c r="A87" s="272" t="s"/>
      <c r="B87" s="272" t="s"/>
      <c r="C87" s="271" t="s"/>
      <c r="D87" s="272" t="s"/>
      <c r="E87" s="271" t="s"/>
      <c r="F87" s="272" t="s"/>
      <c r="G87" s="272" t="s"/>
      <c r="H87" s="271" t="s"/>
      <c r="I87" s="272" t="s"/>
      <c r="J87" s="272" t="s"/>
      <c r="K87" s="272" t="s"/>
      <c r="L87" s="272" t="s"/>
      <c r="M87" s="272" t="s"/>
      <c r="N87" s="272" t="s"/>
      <c r="O87" s="272" t="s"/>
      <c r="P87" s="272" t="s"/>
      <c r="Q87" s="272" t="s"/>
      <c r="R87" s="272" t="s"/>
      <c r="S87" s="272" t="s"/>
      <c r="T87" s="272" t="s"/>
      <c r="U87" s="272" t="s"/>
      <c r="V87" s="272" t="s"/>
      <c r="W87" s="272" t="s"/>
      <c r="X87" s="272" t="s"/>
      <c r="Y87" s="272" t="s"/>
    </row>
    <row r="88" spans="1:25">
      <c r="A88" s="272" t="s"/>
      <c r="B88" s="272" t="s"/>
      <c r="C88" s="271" t="s"/>
      <c r="D88" s="272" t="s"/>
      <c r="E88" s="271" t="s"/>
      <c r="F88" s="272" t="s"/>
      <c r="G88" s="272" t="s"/>
      <c r="H88" s="271" t="s"/>
      <c r="I88" s="272" t="s"/>
      <c r="J88" s="272" t="s"/>
      <c r="K88" s="272" t="s"/>
      <c r="L88" s="272" t="s"/>
      <c r="M88" s="272" t="s"/>
      <c r="N88" s="272" t="s"/>
      <c r="O88" s="272" t="s"/>
      <c r="P88" s="272" t="s"/>
      <c r="Q88" s="272" t="s"/>
      <c r="R88" s="272" t="s"/>
      <c r="S88" s="272" t="s"/>
      <c r="T88" s="272" t="s"/>
      <c r="U88" s="272" t="s"/>
      <c r="V88" s="272" t="s"/>
      <c r="W88" s="272" t="s"/>
      <c r="X88" s="272" t="s"/>
      <c r="Y88" s="272" t="s"/>
    </row>
    <row r="89" spans="1:25">
      <c r="A89" s="272" t="s"/>
      <c r="B89" s="272" t="s"/>
      <c r="C89" s="271" t="s"/>
      <c r="D89" s="272" t="s"/>
      <c r="E89" s="271" t="s"/>
      <c r="F89" s="272" t="s"/>
      <c r="G89" s="272" t="s"/>
      <c r="H89" s="271" t="s"/>
      <c r="I89" s="272" t="s"/>
      <c r="J89" s="272" t="s"/>
      <c r="K89" s="272" t="s"/>
      <c r="L89" s="272" t="s"/>
      <c r="M89" s="272" t="s"/>
      <c r="N89" s="272" t="s"/>
      <c r="O89" s="272" t="s"/>
      <c r="P89" s="272" t="s"/>
      <c r="Q89" s="272" t="s"/>
      <c r="R89" s="272" t="s"/>
      <c r="S89" s="272" t="s"/>
      <c r="T89" s="272" t="s"/>
      <c r="U89" s="272" t="s"/>
      <c r="V89" s="272" t="s"/>
      <c r="W89" s="272" t="s"/>
      <c r="X89" s="272" t="s"/>
      <c r="Y89" s="272" t="s"/>
    </row>
    <row r="90" spans="1:25">
      <c r="A90" s="272" t="s"/>
      <c r="B90" s="272" t="s"/>
      <c r="C90" s="271" t="s"/>
      <c r="D90" s="272" t="s"/>
      <c r="E90" s="271" t="s"/>
      <c r="F90" s="272" t="s"/>
      <c r="G90" s="272" t="s"/>
      <c r="H90" s="271" t="s"/>
      <c r="I90" s="272" t="s"/>
      <c r="J90" s="272" t="s"/>
      <c r="K90" s="272" t="s"/>
      <c r="L90" s="272" t="s"/>
      <c r="M90" s="272" t="s"/>
      <c r="N90" s="272" t="s"/>
      <c r="O90" s="272" t="s"/>
      <c r="P90" s="272" t="s"/>
      <c r="Q90" s="272" t="s"/>
      <c r="R90" s="272" t="s"/>
      <c r="S90" s="272" t="s"/>
      <c r="T90" s="272" t="s"/>
      <c r="U90" s="272" t="s"/>
      <c r="V90" s="272" t="s"/>
      <c r="W90" s="272" t="s"/>
      <c r="X90" s="272" t="s"/>
      <c r="Y90" s="272" t="s"/>
    </row>
    <row r="91" spans="1:25">
      <c r="A91" s="272" t="s"/>
      <c r="B91" s="272" t="s"/>
      <c r="C91" s="271" t="s"/>
      <c r="D91" s="272" t="s"/>
      <c r="E91" s="271" t="s"/>
      <c r="F91" s="272" t="s"/>
      <c r="G91" s="272" t="s"/>
      <c r="H91" s="271" t="s"/>
      <c r="I91" s="272" t="s"/>
      <c r="J91" s="272" t="s"/>
      <c r="K91" s="272" t="s"/>
      <c r="L91" s="272" t="s"/>
      <c r="M91" s="272" t="s"/>
      <c r="N91" s="272" t="s"/>
      <c r="O91" s="272" t="s"/>
      <c r="P91" s="272" t="s"/>
      <c r="Q91" s="272" t="s"/>
      <c r="R91" s="272" t="s"/>
      <c r="S91" s="272" t="s"/>
      <c r="T91" s="272" t="s"/>
      <c r="U91" s="272" t="s"/>
      <c r="V91" s="272" t="s"/>
      <c r="W91" s="272" t="s"/>
      <c r="X91" s="272" t="s"/>
      <c r="Y91" s="272" t="s"/>
    </row>
    <row r="92" spans="1:25">
      <c r="A92" s="272" t="s"/>
      <c r="B92" s="272" t="s"/>
      <c r="C92" s="271" t="s"/>
      <c r="D92" s="272" t="s"/>
      <c r="E92" s="271" t="s"/>
      <c r="F92" s="272" t="s"/>
      <c r="G92" s="272" t="s"/>
      <c r="H92" s="271" t="s"/>
      <c r="I92" s="272" t="s"/>
      <c r="J92" s="272" t="s"/>
      <c r="K92" s="272" t="s"/>
      <c r="L92" s="272" t="s"/>
      <c r="M92" s="272" t="s"/>
      <c r="N92" s="272" t="s"/>
      <c r="O92" s="272" t="s"/>
      <c r="P92" s="272" t="s"/>
      <c r="Q92" s="272" t="s"/>
      <c r="R92" s="272" t="s"/>
      <c r="S92" s="272" t="s"/>
      <c r="T92" s="272" t="s"/>
      <c r="U92" s="272" t="s"/>
      <c r="V92" s="272" t="s"/>
      <c r="W92" s="272" t="s"/>
      <c r="X92" s="272" t="s"/>
      <c r="Y92" s="272" t="s"/>
    </row>
    <row r="93" spans="1:25">
      <c r="A93" s="272" t="s"/>
      <c r="B93" s="272" t="s"/>
      <c r="C93" s="271" t="s"/>
      <c r="D93" s="272" t="s"/>
      <c r="E93" s="271" t="s"/>
      <c r="F93" s="272" t="s"/>
      <c r="G93" s="272" t="s"/>
      <c r="H93" s="271" t="s"/>
      <c r="I93" s="272" t="s"/>
      <c r="J93" s="272" t="s"/>
      <c r="K93" s="272" t="s"/>
      <c r="L93" s="272" t="s"/>
      <c r="M93" s="272" t="s"/>
      <c r="N93" s="272" t="s"/>
      <c r="O93" s="272" t="s"/>
      <c r="P93" s="272" t="s"/>
      <c r="Q93" s="272" t="s"/>
      <c r="R93" s="272" t="s"/>
      <c r="S93" s="272" t="s"/>
      <c r="T93" s="272" t="s"/>
      <c r="U93" s="272" t="s"/>
      <c r="V93" s="272" t="s"/>
      <c r="W93" s="272" t="s"/>
      <c r="X93" s="272" t="s"/>
      <c r="Y93" s="272" t="s"/>
    </row>
    <row r="94" spans="1:25">
      <c r="A94" s="272" t="s"/>
      <c r="B94" s="272" t="s"/>
      <c r="C94" s="271" t="s"/>
      <c r="D94" s="272" t="s"/>
      <c r="E94" s="271" t="s"/>
      <c r="F94" s="272" t="s"/>
      <c r="G94" s="272" t="s"/>
      <c r="H94" s="271" t="s"/>
      <c r="I94" s="272" t="s"/>
      <c r="J94" s="272" t="s"/>
      <c r="K94" s="272" t="s"/>
      <c r="L94" s="272" t="s"/>
      <c r="M94" s="272" t="s"/>
      <c r="N94" s="272" t="s"/>
      <c r="O94" s="272" t="s"/>
      <c r="P94" s="272" t="s"/>
      <c r="Q94" s="272" t="s"/>
      <c r="R94" s="272" t="s"/>
      <c r="S94" s="272" t="s"/>
      <c r="T94" s="272" t="s"/>
      <c r="U94" s="272" t="s"/>
      <c r="V94" s="272" t="s"/>
      <c r="W94" s="272" t="s"/>
      <c r="X94" s="272" t="s"/>
      <c r="Y94" s="272" t="s"/>
    </row>
    <row r="95" spans="1:25">
      <c r="A95" s="272" t="s"/>
      <c r="B95" s="272" t="s"/>
      <c r="C95" s="271" t="s"/>
      <c r="D95" s="272" t="s"/>
      <c r="E95" s="271" t="s"/>
      <c r="F95" s="272" t="s"/>
      <c r="G95" s="272" t="s"/>
      <c r="H95" s="271" t="s"/>
      <c r="I95" s="272" t="s"/>
      <c r="J95" s="272" t="s"/>
      <c r="K95" s="272" t="s"/>
      <c r="L95" s="272" t="s"/>
      <c r="M95" s="272" t="s"/>
      <c r="N95" s="272" t="s"/>
      <c r="O95" s="272" t="s"/>
      <c r="P95" s="272" t="s"/>
      <c r="Q95" s="272" t="s"/>
      <c r="R95" s="272" t="s"/>
      <c r="S95" s="272" t="s"/>
      <c r="T95" s="272" t="s"/>
      <c r="U95" s="272" t="s"/>
      <c r="V95" s="272" t="s"/>
      <c r="W95" s="272" t="s"/>
      <c r="X95" s="272" t="s"/>
      <c r="Y95" s="272" t="s"/>
    </row>
    <row r="96" spans="1:25">
      <c r="A96" s="272" t="s"/>
      <c r="B96" s="272" t="s"/>
      <c r="C96" s="271" t="s"/>
      <c r="D96" s="272" t="s"/>
      <c r="E96" s="271" t="s"/>
      <c r="F96" s="272" t="s"/>
      <c r="G96" s="272" t="s"/>
      <c r="H96" s="271" t="s"/>
      <c r="I96" s="272" t="s"/>
      <c r="J96" s="272" t="s"/>
      <c r="K96" s="272" t="s"/>
      <c r="L96" s="272" t="s"/>
      <c r="M96" s="272" t="s"/>
      <c r="N96" s="272" t="s"/>
      <c r="O96" s="272" t="s"/>
      <c r="P96" s="272" t="s"/>
      <c r="Q96" s="272" t="s"/>
      <c r="R96" s="272" t="s"/>
      <c r="S96" s="272" t="s"/>
      <c r="T96" s="272" t="s"/>
      <c r="U96" s="272" t="s"/>
      <c r="V96" s="272" t="s"/>
      <c r="W96" s="272" t="s"/>
      <c r="X96" s="272" t="s"/>
      <c r="Y96" s="272" t="s"/>
    </row>
    <row r="97" spans="1:25">
      <c r="A97" s="272" t="s"/>
      <c r="B97" s="272" t="s"/>
      <c r="C97" s="271" t="s"/>
      <c r="D97" s="272" t="s"/>
      <c r="E97" s="271" t="s"/>
      <c r="F97" s="272" t="s"/>
      <c r="G97" s="272" t="s"/>
      <c r="H97" s="271" t="s"/>
      <c r="I97" s="272" t="s"/>
      <c r="J97" s="272" t="s"/>
      <c r="K97" s="272" t="s"/>
      <c r="L97" s="272" t="s"/>
      <c r="M97" s="272" t="s"/>
      <c r="N97" s="272" t="s"/>
      <c r="O97" s="272" t="s"/>
      <c r="P97" s="272" t="s"/>
      <c r="Q97" s="272" t="s"/>
      <c r="R97" s="272" t="s"/>
      <c r="S97" s="272" t="s"/>
      <c r="T97" s="272" t="s"/>
      <c r="U97" s="272" t="s"/>
      <c r="V97" s="272" t="s"/>
      <c r="W97" s="272" t="s"/>
      <c r="X97" s="272" t="s"/>
      <c r="Y97" s="272" t="s"/>
    </row>
    <row r="98" spans="1:25">
      <c r="A98" s="272" t="s"/>
      <c r="B98" s="272" t="s"/>
      <c r="C98" s="271" t="s"/>
      <c r="D98" s="272" t="s"/>
      <c r="E98" s="271" t="s"/>
      <c r="F98" s="272" t="s"/>
      <c r="G98" s="272" t="s"/>
      <c r="H98" s="271" t="s"/>
      <c r="I98" s="272" t="s"/>
      <c r="J98" s="272" t="s"/>
      <c r="K98" s="272" t="s"/>
      <c r="L98" s="272" t="s"/>
      <c r="M98" s="272" t="s"/>
      <c r="N98" s="272" t="s"/>
      <c r="O98" s="272" t="s"/>
      <c r="P98" s="272" t="s"/>
      <c r="Q98" s="272" t="s"/>
      <c r="R98" s="272" t="s"/>
      <c r="S98" s="272" t="s"/>
      <c r="T98" s="272" t="s"/>
      <c r="U98" s="272" t="s"/>
      <c r="V98" s="272" t="s"/>
      <c r="W98" s="272" t="s"/>
      <c r="X98" s="272" t="s"/>
      <c r="Y98" s="272" t="s"/>
    </row>
    <row r="99" spans="1:25">
      <c r="A99" s="272" t="s"/>
      <c r="B99" s="272" t="s"/>
      <c r="C99" s="271" t="s"/>
      <c r="D99" s="272" t="s"/>
      <c r="E99" s="271" t="s"/>
      <c r="F99" s="272" t="s"/>
      <c r="G99" s="272" t="s"/>
      <c r="H99" s="271" t="s"/>
      <c r="I99" s="272" t="s"/>
      <c r="J99" s="272" t="s"/>
      <c r="K99" s="272" t="s"/>
      <c r="L99" s="272" t="s"/>
      <c r="M99" s="272" t="s"/>
      <c r="N99" s="272" t="s"/>
      <c r="O99" s="272" t="s"/>
      <c r="P99" s="272" t="s"/>
      <c r="Q99" s="272" t="s"/>
      <c r="R99" s="272" t="s"/>
      <c r="S99" s="272" t="s"/>
      <c r="T99" s="272" t="s"/>
      <c r="U99" s="272" t="s"/>
      <c r="V99" s="272" t="s"/>
      <c r="W99" s="272" t="s"/>
      <c r="X99" s="272" t="s"/>
      <c r="Y99" s="272" t="s"/>
    </row>
    <row r="100" spans="1:25">
      <c r="A100" s="272" t="s"/>
      <c r="B100" s="272" t="s"/>
      <c r="C100" s="271" t="s"/>
      <c r="D100" s="272" t="s"/>
      <c r="E100" s="271" t="s"/>
      <c r="F100" s="272" t="s"/>
      <c r="G100" s="272" t="s"/>
      <c r="H100" s="271" t="s"/>
      <c r="I100" s="272" t="s"/>
      <c r="J100" s="272" t="s"/>
      <c r="K100" s="272" t="s"/>
      <c r="L100" s="272" t="s"/>
      <c r="M100" s="272" t="s"/>
      <c r="N100" s="272" t="s"/>
      <c r="O100" s="272" t="s"/>
      <c r="P100" s="272" t="s"/>
      <c r="Q100" s="272" t="s"/>
      <c r="R100" s="272" t="s"/>
      <c r="S100" s="272" t="s"/>
      <c r="T100" s="272" t="s"/>
      <c r="U100" s="272" t="s"/>
      <c r="V100" s="272" t="s"/>
      <c r="W100" s="272" t="s"/>
      <c r="X100" s="272" t="s"/>
      <c r="Y100" s="272" t="s"/>
    </row>
    <row r="101" spans="1:25">
      <c r="A101" s="272" t="s"/>
      <c r="B101" s="272" t="s"/>
      <c r="C101" s="271" t="s"/>
      <c r="D101" s="272" t="s"/>
      <c r="E101" s="271" t="s"/>
      <c r="F101" s="272" t="s"/>
      <c r="G101" s="272" t="s"/>
      <c r="H101" s="271" t="s"/>
      <c r="I101" s="272" t="s"/>
      <c r="J101" s="272" t="s"/>
      <c r="K101" s="272" t="s"/>
      <c r="L101" s="272" t="s"/>
      <c r="M101" s="272" t="s"/>
      <c r="N101" s="272" t="s"/>
      <c r="O101" s="272" t="s"/>
      <c r="P101" s="272" t="s"/>
      <c r="Q101" s="272" t="s"/>
      <c r="R101" s="272" t="s"/>
      <c r="S101" s="272" t="s"/>
      <c r="T101" s="272" t="s"/>
      <c r="U101" s="272" t="s"/>
      <c r="V101" s="272" t="s"/>
      <c r="W101" s="272" t="s"/>
      <c r="X101" s="272" t="s"/>
      <c r="Y101" s="272" t="s"/>
    </row>
    <row r="102" spans="1:25">
      <c r="A102" s="272" t="s"/>
      <c r="B102" s="272" t="s"/>
      <c r="C102" s="271" t="s"/>
      <c r="D102" s="272" t="s"/>
      <c r="E102" s="271" t="s"/>
      <c r="F102" s="272" t="s"/>
      <c r="G102" s="272" t="s"/>
      <c r="H102" s="271" t="s"/>
      <c r="I102" s="272" t="s"/>
      <c r="J102" s="272" t="s"/>
      <c r="K102" s="272" t="s"/>
      <c r="L102" s="272" t="s"/>
      <c r="M102" s="272" t="s"/>
      <c r="N102" s="272" t="s"/>
      <c r="O102" s="272" t="s"/>
      <c r="P102" s="272" t="s"/>
      <c r="Q102" s="272" t="s"/>
      <c r="R102" s="272" t="s"/>
      <c r="S102" s="272" t="s"/>
      <c r="T102" s="272" t="s"/>
      <c r="U102" s="272" t="s"/>
      <c r="V102" s="272" t="s"/>
      <c r="W102" s="272" t="s"/>
      <c r="X102" s="272" t="s"/>
      <c r="Y102" s="272" t="s"/>
    </row>
    <row r="103" spans="1:25">
      <c r="A103" s="272" t="s"/>
      <c r="B103" s="272" t="s"/>
      <c r="C103" s="271" t="s"/>
      <c r="D103" s="272" t="s"/>
      <c r="E103" s="271" t="s"/>
      <c r="F103" s="272" t="s"/>
      <c r="G103" s="272" t="s"/>
      <c r="H103" s="271" t="s"/>
      <c r="I103" s="272" t="s"/>
      <c r="J103" s="272" t="s"/>
      <c r="K103" s="272" t="s"/>
      <c r="L103" s="272" t="s"/>
      <c r="M103" s="272" t="s"/>
      <c r="N103" s="272" t="s"/>
      <c r="O103" s="272" t="s"/>
      <c r="P103" s="272" t="s"/>
      <c r="Q103" s="272" t="s"/>
      <c r="R103" s="272" t="s"/>
      <c r="S103" s="272" t="s"/>
      <c r="T103" s="272" t="s"/>
      <c r="U103" s="272" t="s"/>
      <c r="V103" s="272" t="s"/>
      <c r="W103" s="272" t="s"/>
      <c r="X103" s="272" t="s"/>
      <c r="Y103" s="272" t="s"/>
    </row>
    <row r="104" spans="1:25">
      <c r="A104" s="272" t="s"/>
      <c r="B104" s="272" t="s"/>
      <c r="C104" s="271" t="s"/>
      <c r="D104" s="272" t="s"/>
      <c r="E104" s="271" t="s"/>
      <c r="F104" s="272" t="s"/>
      <c r="G104" s="272" t="s"/>
      <c r="H104" s="271" t="s"/>
      <c r="I104" s="272" t="s"/>
      <c r="J104" s="272" t="s"/>
      <c r="K104" s="272" t="s"/>
      <c r="L104" s="272" t="s"/>
      <c r="M104" s="272" t="s"/>
      <c r="N104" s="272" t="s"/>
      <c r="O104" s="272" t="s"/>
      <c r="P104" s="272" t="s"/>
      <c r="Q104" s="272" t="s"/>
      <c r="R104" s="272" t="s"/>
      <c r="S104" s="272" t="s"/>
      <c r="T104" s="272" t="s"/>
      <c r="U104" s="272" t="s"/>
      <c r="V104" s="272" t="s"/>
      <c r="W104" s="272" t="s"/>
      <c r="X104" s="272" t="s"/>
      <c r="Y104" s="272" t="s"/>
    </row>
    <row r="105" spans="1:25">
      <c r="A105" s="272" t="s"/>
      <c r="B105" s="272" t="s"/>
      <c r="C105" s="271" t="s"/>
      <c r="D105" s="272" t="s"/>
      <c r="E105" s="271" t="s"/>
      <c r="F105" s="272" t="s"/>
      <c r="G105" s="272" t="s"/>
      <c r="H105" s="271" t="s"/>
      <c r="I105" s="272" t="s"/>
      <c r="J105" s="272" t="s"/>
      <c r="K105" s="272" t="s"/>
      <c r="L105" s="272" t="s"/>
      <c r="M105" s="272" t="s"/>
      <c r="N105" s="272" t="s"/>
      <c r="O105" s="272" t="s"/>
      <c r="P105" s="272" t="s"/>
      <c r="Q105" s="272" t="s"/>
      <c r="R105" s="272" t="s"/>
      <c r="S105" s="272" t="s"/>
      <c r="T105" s="272" t="s"/>
      <c r="U105" s="272" t="s"/>
      <c r="V105" s="272" t="s"/>
      <c r="W105" s="272" t="s"/>
      <c r="X105" s="272" t="s"/>
      <c r="Y105" s="272" t="s"/>
    </row>
    <row r="106" spans="1:25">
      <c r="A106" s="272" t="s"/>
      <c r="B106" s="272" t="s"/>
      <c r="C106" s="271" t="s"/>
      <c r="D106" s="272" t="s"/>
      <c r="E106" s="271" t="s"/>
      <c r="F106" s="272" t="s"/>
      <c r="G106" s="272" t="s"/>
      <c r="H106" s="271" t="s"/>
      <c r="I106" s="272" t="s"/>
      <c r="J106" s="272" t="s"/>
      <c r="K106" s="272" t="s"/>
      <c r="L106" s="272" t="s"/>
      <c r="M106" s="272" t="s"/>
      <c r="N106" s="272" t="s"/>
      <c r="O106" s="272" t="s"/>
      <c r="P106" s="272" t="s"/>
      <c r="Q106" s="272" t="s"/>
      <c r="R106" s="272" t="s"/>
      <c r="S106" s="272" t="s"/>
      <c r="T106" s="272" t="s"/>
      <c r="U106" s="272" t="s"/>
      <c r="V106" s="272" t="s"/>
      <c r="W106" s="272" t="s"/>
      <c r="X106" s="272" t="s"/>
      <c r="Y106" s="272" t="s"/>
    </row>
    <row r="107" spans="1:25">
      <c r="A107" s="272" t="s"/>
      <c r="B107" s="272" t="s"/>
      <c r="C107" s="271" t="s"/>
      <c r="D107" s="272" t="s"/>
      <c r="E107" s="271" t="s"/>
      <c r="F107" s="272" t="s"/>
      <c r="G107" s="272" t="s"/>
      <c r="H107" s="271" t="s"/>
      <c r="I107" s="272" t="s"/>
      <c r="J107" s="272" t="s"/>
      <c r="K107" s="272" t="s"/>
      <c r="L107" s="272" t="s"/>
      <c r="M107" s="272" t="s"/>
      <c r="N107" s="272" t="s"/>
      <c r="O107" s="272" t="s"/>
      <c r="P107" s="272" t="s"/>
      <c r="Q107" s="272" t="s"/>
      <c r="R107" s="272" t="s"/>
      <c r="S107" s="272" t="s"/>
      <c r="T107" s="272" t="s"/>
      <c r="U107" s="272" t="s"/>
      <c r="V107" s="272" t="s"/>
      <c r="W107" s="272" t="s"/>
      <c r="X107" s="272" t="s"/>
      <c r="Y107" s="272" t="s"/>
    </row>
    <row r="108" spans="1:25">
      <c r="A108" s="272" t="s"/>
      <c r="B108" s="272" t="s"/>
      <c r="C108" s="271" t="s"/>
      <c r="D108" s="272" t="s"/>
      <c r="E108" s="271" t="s"/>
      <c r="F108" s="272" t="s"/>
      <c r="G108" s="272" t="s"/>
      <c r="H108" s="271" t="s"/>
      <c r="I108" s="272" t="s"/>
      <c r="J108" s="272" t="s"/>
      <c r="K108" s="272" t="s"/>
      <c r="L108" s="272" t="s"/>
      <c r="M108" s="272" t="s"/>
      <c r="N108" s="272" t="s"/>
      <c r="O108" s="272" t="s"/>
      <c r="P108" s="272" t="s"/>
      <c r="Q108" s="272" t="s"/>
      <c r="R108" s="272" t="s"/>
      <c r="S108" s="272" t="s"/>
      <c r="T108" s="272" t="s"/>
      <c r="U108" s="272" t="s"/>
      <c r="V108" s="272" t="s"/>
      <c r="W108" s="272" t="s"/>
      <c r="X108" s="272" t="s"/>
      <c r="Y108" s="272" t="s"/>
    </row>
    <row r="109" spans="1:25">
      <c r="A109" s="272" t="s"/>
      <c r="B109" s="272" t="s"/>
      <c r="C109" s="271" t="s"/>
      <c r="D109" s="272" t="s"/>
      <c r="E109" s="271" t="s"/>
      <c r="F109" s="272" t="s"/>
      <c r="G109" s="272" t="s"/>
      <c r="H109" s="271" t="s"/>
      <c r="I109" s="272" t="s"/>
      <c r="J109" s="272" t="s"/>
      <c r="K109" s="272" t="s"/>
      <c r="L109" s="272" t="s"/>
      <c r="M109" s="272" t="s"/>
      <c r="N109" s="272" t="s"/>
      <c r="O109" s="272" t="s"/>
      <c r="P109" s="272" t="s"/>
      <c r="Q109" s="272" t="s"/>
      <c r="R109" s="272" t="s"/>
      <c r="S109" s="272" t="s"/>
      <c r="T109" s="272" t="s"/>
      <c r="U109" s="272" t="s"/>
      <c r="V109" s="272" t="s"/>
      <c r="W109" s="272" t="s"/>
      <c r="X109" s="272" t="s"/>
      <c r="Y109" s="272" t="s"/>
    </row>
    <row r="110" spans="1:25">
      <c r="A110" s="272" t="s"/>
      <c r="B110" s="272" t="s"/>
      <c r="C110" s="271" t="s"/>
      <c r="D110" s="272" t="s"/>
      <c r="E110" s="271" t="s"/>
      <c r="F110" s="272" t="s"/>
      <c r="G110" s="272" t="s"/>
      <c r="H110" s="271" t="s"/>
      <c r="I110" s="272" t="s"/>
      <c r="J110" s="272" t="s"/>
      <c r="K110" s="272" t="s"/>
      <c r="L110" s="272" t="s"/>
      <c r="M110" s="272" t="s"/>
      <c r="N110" s="272" t="s"/>
      <c r="O110" s="272" t="s"/>
      <c r="P110" s="272" t="s"/>
      <c r="Q110" s="272" t="s"/>
      <c r="R110" s="272" t="s"/>
      <c r="S110" s="272" t="s"/>
      <c r="T110" s="272" t="s"/>
      <c r="U110" s="272" t="s"/>
      <c r="V110" s="272" t="s"/>
      <c r="W110" s="272" t="s"/>
      <c r="X110" s="272" t="s"/>
      <c r="Y110" s="272" t="s"/>
    </row>
    <row r="111" spans="1:25">
      <c r="A111" s="272" t="s"/>
      <c r="B111" s="272" t="s"/>
      <c r="C111" s="271" t="s"/>
      <c r="D111" s="272" t="s"/>
      <c r="E111" s="271" t="s"/>
      <c r="F111" s="272" t="s"/>
      <c r="G111" s="272" t="s"/>
      <c r="H111" s="271" t="s"/>
      <c r="I111" s="272" t="s"/>
      <c r="J111" s="272" t="s"/>
      <c r="K111" s="272" t="s"/>
      <c r="L111" s="272" t="s"/>
      <c r="M111" s="272" t="s"/>
      <c r="N111" s="272" t="s"/>
      <c r="O111" s="272" t="s"/>
      <c r="P111" s="272" t="s"/>
      <c r="Q111" s="272" t="s"/>
      <c r="R111" s="272" t="s"/>
      <c r="S111" s="272" t="s"/>
      <c r="T111" s="272" t="s"/>
      <c r="U111" s="272" t="s"/>
      <c r="V111" s="272" t="s"/>
      <c r="W111" s="272" t="s"/>
      <c r="X111" s="272" t="s"/>
      <c r="Y111" s="272" t="s"/>
    </row>
    <row r="112" spans="1:25">
      <c r="A112" s="272" t="s"/>
      <c r="B112" s="272" t="s"/>
      <c r="C112" s="271" t="s"/>
      <c r="D112" s="272" t="s"/>
      <c r="E112" s="271" t="s"/>
      <c r="F112" s="272" t="s"/>
      <c r="G112" s="272" t="s"/>
      <c r="H112" s="271" t="s"/>
      <c r="I112" s="272" t="s"/>
      <c r="J112" s="272" t="s"/>
      <c r="K112" s="272" t="s"/>
      <c r="L112" s="272" t="s"/>
      <c r="M112" s="272" t="s"/>
      <c r="N112" s="272" t="s"/>
      <c r="O112" s="272" t="s"/>
      <c r="P112" s="272" t="s"/>
      <c r="Q112" s="272" t="s"/>
      <c r="R112" s="272" t="s"/>
      <c r="S112" s="272" t="s"/>
      <c r="T112" s="272" t="s"/>
      <c r="U112" s="272" t="s"/>
      <c r="V112" s="272" t="s"/>
      <c r="W112" s="272" t="s"/>
      <c r="X112" s="272" t="s"/>
      <c r="Y112" s="272" t="s"/>
    </row>
    <row r="113" spans="1:25">
      <c r="A113" s="272" t="s"/>
      <c r="B113" s="272" t="s"/>
      <c r="C113" s="271" t="s"/>
      <c r="D113" s="272" t="s"/>
      <c r="E113" s="271" t="s"/>
      <c r="F113" s="272" t="s"/>
      <c r="G113" s="272" t="s"/>
      <c r="H113" s="271" t="s"/>
      <c r="I113" s="272" t="s"/>
      <c r="J113" s="272" t="s"/>
      <c r="K113" s="272" t="s"/>
      <c r="L113" s="272" t="s"/>
      <c r="M113" s="272" t="s"/>
      <c r="N113" s="272" t="s"/>
      <c r="O113" s="272" t="s"/>
      <c r="P113" s="272" t="s"/>
      <c r="Q113" s="272" t="s"/>
      <c r="R113" s="272" t="s"/>
      <c r="S113" s="272" t="s"/>
      <c r="T113" s="272" t="s"/>
      <c r="U113" s="272" t="s"/>
      <c r="V113" s="272" t="s"/>
      <c r="W113" s="272" t="s"/>
      <c r="X113" s="272" t="s"/>
      <c r="Y113" s="272" t="s"/>
    </row>
    <row r="114" spans="1:25">
      <c r="A114" s="272" t="s"/>
      <c r="B114" s="272" t="s"/>
      <c r="C114" s="271" t="s"/>
      <c r="D114" s="272" t="s"/>
      <c r="E114" s="271" t="s"/>
      <c r="F114" s="272" t="s"/>
      <c r="G114" s="272" t="s"/>
      <c r="H114" s="271" t="s"/>
      <c r="I114" s="272" t="s"/>
      <c r="J114" s="272" t="s"/>
      <c r="K114" s="272" t="s"/>
      <c r="L114" s="272" t="s"/>
      <c r="M114" s="272" t="s"/>
      <c r="N114" s="272" t="s"/>
      <c r="O114" s="272" t="s"/>
      <c r="P114" s="272" t="s"/>
      <c r="Q114" s="272" t="s"/>
      <c r="R114" s="272" t="s"/>
      <c r="S114" s="272" t="s"/>
      <c r="T114" s="272" t="s"/>
      <c r="U114" s="272" t="s"/>
      <c r="V114" s="272" t="s"/>
      <c r="W114" s="272" t="s"/>
      <c r="X114" s="272" t="s"/>
      <c r="Y114" s="272" t="s"/>
    </row>
    <row r="115" spans="1:25">
      <c r="A115" s="272" t="s"/>
      <c r="B115" s="272" t="s"/>
      <c r="C115" s="271" t="s"/>
      <c r="D115" s="272" t="s"/>
      <c r="E115" s="271" t="s"/>
      <c r="F115" s="272" t="s"/>
      <c r="G115" s="272" t="s"/>
      <c r="H115" s="271" t="s"/>
      <c r="I115" s="272" t="s"/>
      <c r="J115" s="272" t="s"/>
      <c r="K115" s="272" t="s"/>
      <c r="L115" s="272" t="s"/>
      <c r="M115" s="272" t="s"/>
      <c r="N115" s="272" t="s"/>
      <c r="O115" s="272" t="s"/>
      <c r="P115" s="272" t="s"/>
      <c r="Q115" s="272" t="s"/>
      <c r="R115" s="272" t="s"/>
      <c r="S115" s="272" t="s"/>
      <c r="T115" s="272" t="s"/>
      <c r="U115" s="272" t="s"/>
      <c r="V115" s="272" t="s"/>
      <c r="W115" s="272" t="s"/>
      <c r="X115" s="272" t="s"/>
      <c r="Y115" s="272" t="s"/>
    </row>
    <row r="116" spans="1:25">
      <c r="A116" s="272" t="s"/>
      <c r="B116" s="272" t="s"/>
      <c r="C116" s="271" t="s"/>
      <c r="D116" s="272" t="s"/>
      <c r="E116" s="271" t="s"/>
      <c r="F116" s="272" t="s"/>
      <c r="G116" s="272" t="s"/>
      <c r="H116" s="271" t="s"/>
      <c r="I116" s="272" t="s"/>
      <c r="J116" s="272" t="s"/>
      <c r="K116" s="272" t="s"/>
      <c r="L116" s="272" t="s"/>
      <c r="M116" s="272" t="s"/>
      <c r="N116" s="272" t="s"/>
      <c r="O116" s="272" t="s"/>
      <c r="P116" s="272" t="s"/>
      <c r="Q116" s="272" t="s"/>
      <c r="R116" s="272" t="s"/>
      <c r="S116" s="272" t="s"/>
      <c r="T116" s="272" t="s"/>
      <c r="U116" s="272" t="s"/>
      <c r="V116" s="272" t="s"/>
      <c r="W116" s="272" t="s"/>
      <c r="X116" s="272" t="s"/>
      <c r="Y116" s="272" t="s"/>
    </row>
    <row r="117" spans="1:25">
      <c r="A117" s="272" t="s"/>
      <c r="B117" s="272" t="s"/>
      <c r="C117" s="271" t="s"/>
      <c r="D117" s="272" t="s"/>
      <c r="E117" s="271" t="s"/>
      <c r="F117" s="272" t="s"/>
      <c r="G117" s="272" t="s"/>
      <c r="H117" s="271" t="s"/>
      <c r="I117" s="272" t="s"/>
      <c r="J117" s="272" t="s"/>
      <c r="K117" s="272" t="s"/>
      <c r="L117" s="272" t="s"/>
      <c r="M117" s="272" t="s"/>
      <c r="N117" s="272" t="s"/>
      <c r="O117" s="272" t="s"/>
      <c r="P117" s="272" t="s"/>
      <c r="Q117" s="272" t="s"/>
      <c r="R117" s="272" t="s"/>
      <c r="S117" s="272" t="s"/>
      <c r="T117" s="272" t="s"/>
      <c r="U117" s="272" t="s"/>
      <c r="V117" s="272" t="s"/>
      <c r="W117" s="272" t="s"/>
      <c r="X117" s="272" t="s"/>
      <c r="Y117" s="272" t="s"/>
    </row>
    <row r="118" spans="1:25">
      <c r="A118" s="272" t="s"/>
      <c r="B118" s="272" t="s"/>
      <c r="C118" s="271" t="s"/>
      <c r="D118" s="272" t="s"/>
      <c r="E118" s="271" t="s"/>
      <c r="F118" s="272" t="s"/>
      <c r="G118" s="272" t="s"/>
      <c r="H118" s="271" t="s"/>
      <c r="I118" s="272" t="s"/>
      <c r="J118" s="272" t="s"/>
      <c r="K118" s="272" t="s"/>
      <c r="L118" s="272" t="s"/>
      <c r="M118" s="272" t="s"/>
      <c r="N118" s="272" t="s"/>
      <c r="O118" s="272" t="s"/>
      <c r="P118" s="272" t="s"/>
      <c r="Q118" s="272" t="s"/>
      <c r="R118" s="272" t="s"/>
      <c r="S118" s="272" t="s"/>
      <c r="T118" s="272" t="s"/>
      <c r="U118" s="272" t="s"/>
      <c r="V118" s="272" t="s"/>
      <c r="W118" s="272" t="s"/>
      <c r="X118" s="272" t="s"/>
      <c r="Y118" s="272" t="s"/>
    </row>
    <row r="119" spans="1:25">
      <c r="A119" s="272" t="s"/>
      <c r="B119" s="272" t="s"/>
      <c r="C119" s="271" t="s"/>
      <c r="D119" s="272" t="s"/>
      <c r="E119" s="271" t="s"/>
      <c r="F119" s="272" t="s"/>
      <c r="G119" s="272" t="s"/>
      <c r="H119" s="271" t="s"/>
      <c r="I119" s="272" t="s"/>
      <c r="J119" s="272" t="s"/>
      <c r="K119" s="272" t="s"/>
      <c r="L119" s="272" t="s"/>
      <c r="M119" s="272" t="s"/>
      <c r="N119" s="272" t="s"/>
      <c r="O119" s="272" t="s"/>
      <c r="P119" s="272" t="s"/>
      <c r="Q119" s="272" t="s"/>
      <c r="R119" s="272" t="s"/>
      <c r="S119" s="272" t="s"/>
      <c r="T119" s="272" t="s"/>
      <c r="U119" s="272" t="s"/>
      <c r="V119" s="272" t="s"/>
      <c r="W119" s="272" t="s"/>
      <c r="X119" s="272" t="s"/>
      <c r="Y119" s="272" t="s"/>
    </row>
    <row r="120" spans="1:25">
      <c r="A120" s="272" t="s"/>
      <c r="B120" s="272" t="s"/>
      <c r="C120" s="271" t="s"/>
      <c r="D120" s="272" t="s"/>
      <c r="E120" s="271" t="s"/>
      <c r="F120" s="272" t="s"/>
      <c r="G120" s="272" t="s"/>
      <c r="H120" s="271" t="s"/>
      <c r="I120" s="272" t="s"/>
      <c r="J120" s="272" t="s"/>
      <c r="K120" s="272" t="s"/>
      <c r="L120" s="272" t="s"/>
      <c r="M120" s="272" t="s"/>
      <c r="N120" s="272" t="s"/>
      <c r="O120" s="272" t="s"/>
      <c r="P120" s="272" t="s"/>
      <c r="Q120" s="272" t="s"/>
      <c r="R120" s="272" t="s"/>
      <c r="S120" s="272" t="s"/>
      <c r="T120" s="272" t="s"/>
      <c r="U120" s="272" t="s"/>
      <c r="V120" s="272" t="s"/>
      <c r="W120" s="272" t="s"/>
      <c r="X120" s="272" t="s"/>
      <c r="Y120" s="272" t="s"/>
    </row>
    <row r="121" spans="1:25">
      <c r="A121" s="272" t="s"/>
      <c r="B121" s="272" t="s"/>
      <c r="C121" s="271" t="s"/>
      <c r="D121" s="272" t="s"/>
      <c r="E121" s="271" t="s"/>
      <c r="F121" s="272" t="s"/>
      <c r="G121" s="272" t="s"/>
      <c r="H121" s="271" t="s"/>
      <c r="I121" s="272" t="s"/>
      <c r="J121" s="272" t="s"/>
      <c r="K121" s="272" t="s"/>
      <c r="L121" s="272" t="s"/>
      <c r="M121" s="272" t="s"/>
      <c r="N121" s="272" t="s"/>
      <c r="O121" s="272" t="s"/>
      <c r="P121" s="272" t="s"/>
      <c r="Q121" s="272" t="s"/>
      <c r="R121" s="272" t="s"/>
      <c r="S121" s="272" t="s"/>
      <c r="T121" s="272" t="s"/>
      <c r="U121" s="272" t="s"/>
      <c r="V121" s="272" t="s"/>
      <c r="W121" s="272" t="s"/>
      <c r="X121" s="272" t="s"/>
      <c r="Y121" s="272" t="s"/>
    </row>
    <row r="122" spans="1:25">
      <c r="A122" s="272" t="s"/>
      <c r="B122" s="272" t="s"/>
      <c r="C122" s="271" t="s"/>
      <c r="D122" s="272" t="s"/>
      <c r="E122" s="271" t="s"/>
      <c r="F122" s="272" t="s"/>
      <c r="G122" s="272" t="s"/>
      <c r="H122" s="271" t="s"/>
      <c r="I122" s="272" t="s"/>
      <c r="J122" s="272" t="s"/>
      <c r="K122" s="272" t="s"/>
      <c r="L122" s="272" t="s"/>
      <c r="M122" s="272" t="s"/>
      <c r="N122" s="272" t="s"/>
      <c r="O122" s="272" t="s"/>
      <c r="P122" s="272" t="s"/>
      <c r="Q122" s="272" t="s"/>
      <c r="R122" s="272" t="s"/>
      <c r="S122" s="272" t="s"/>
      <c r="T122" s="272" t="s"/>
      <c r="U122" s="272" t="s"/>
      <c r="V122" s="272" t="s"/>
      <c r="W122" s="272" t="s"/>
      <c r="X122" s="272" t="s"/>
      <c r="Y122" s="272" t="s"/>
    </row>
    <row r="123" spans="1:25">
      <c r="A123" s="272" t="s"/>
      <c r="B123" s="272" t="s"/>
      <c r="C123" s="271" t="s"/>
      <c r="D123" s="272" t="s"/>
      <c r="E123" s="271" t="s"/>
      <c r="F123" s="272" t="s"/>
      <c r="G123" s="272" t="s"/>
      <c r="H123" s="271" t="s"/>
      <c r="I123" s="272" t="s"/>
      <c r="J123" s="272" t="s"/>
      <c r="K123" s="272" t="s"/>
      <c r="L123" s="272" t="s"/>
      <c r="M123" s="272" t="s"/>
      <c r="N123" s="272" t="s"/>
      <c r="O123" s="272" t="s"/>
      <c r="P123" s="272" t="s"/>
      <c r="Q123" s="272" t="s"/>
      <c r="R123" s="272" t="s"/>
      <c r="S123" s="272" t="s"/>
      <c r="T123" s="272" t="s"/>
      <c r="U123" s="272" t="s"/>
      <c r="V123" s="272" t="s"/>
      <c r="W123" s="272" t="s"/>
      <c r="X123" s="272" t="s"/>
      <c r="Y123" s="272" t="s"/>
    </row>
    <row r="124" spans="1:25">
      <c r="A124" s="272" t="s"/>
      <c r="B124" s="272" t="s"/>
      <c r="C124" s="271" t="s"/>
      <c r="D124" s="272" t="s"/>
      <c r="E124" s="271" t="s"/>
      <c r="F124" s="272" t="s"/>
      <c r="G124" s="272" t="s"/>
      <c r="H124" s="271" t="s"/>
      <c r="I124" s="272" t="s"/>
      <c r="J124" s="272" t="s"/>
      <c r="K124" s="272" t="s"/>
      <c r="L124" s="272" t="s"/>
      <c r="M124" s="272" t="s"/>
      <c r="N124" s="272" t="s"/>
      <c r="O124" s="272" t="s"/>
      <c r="P124" s="272" t="s"/>
      <c r="Q124" s="272" t="s"/>
      <c r="R124" s="272" t="s"/>
      <c r="S124" s="272" t="s"/>
      <c r="T124" s="272" t="s"/>
      <c r="U124" s="272" t="s"/>
      <c r="V124" s="272" t="s"/>
      <c r="W124" s="272" t="s"/>
      <c r="X124" s="272" t="s"/>
      <c r="Y124" s="272" t="s"/>
    </row>
    <row r="125" spans="1:25">
      <c r="A125" s="272" t="s"/>
      <c r="B125" s="272" t="s"/>
      <c r="C125" s="271" t="s"/>
      <c r="D125" s="272" t="s"/>
      <c r="E125" s="271" t="s"/>
      <c r="F125" s="272" t="s"/>
      <c r="G125" s="272" t="s"/>
      <c r="H125" s="271" t="s"/>
      <c r="I125" s="272" t="s"/>
      <c r="J125" s="272" t="s"/>
      <c r="K125" s="272" t="s"/>
      <c r="L125" s="272" t="s"/>
      <c r="M125" s="272" t="s"/>
      <c r="N125" s="272" t="s"/>
      <c r="O125" s="272" t="s"/>
      <c r="P125" s="272" t="s"/>
      <c r="Q125" s="272" t="s"/>
      <c r="R125" s="272" t="s"/>
      <c r="S125" s="272" t="s"/>
      <c r="T125" s="272" t="s"/>
      <c r="U125" s="272" t="s"/>
      <c r="V125" s="272" t="s"/>
      <c r="W125" s="272" t="s"/>
      <c r="X125" s="272" t="s"/>
      <c r="Y125" s="272" t="s"/>
    </row>
    <row r="126" spans="1:25">
      <c r="A126" s="272" t="s"/>
      <c r="B126" s="272" t="s"/>
      <c r="C126" s="271" t="s"/>
      <c r="D126" s="272" t="s"/>
      <c r="E126" s="271" t="s"/>
      <c r="F126" s="272" t="s"/>
      <c r="G126" s="272" t="s"/>
      <c r="H126" s="271" t="s"/>
      <c r="I126" s="272" t="s"/>
      <c r="J126" s="272" t="s"/>
      <c r="K126" s="272" t="s"/>
      <c r="L126" s="272" t="s"/>
      <c r="M126" s="272" t="s"/>
      <c r="N126" s="272" t="s"/>
      <c r="O126" s="272" t="s"/>
      <c r="P126" s="272" t="s"/>
      <c r="Q126" s="272" t="s"/>
      <c r="R126" s="272" t="s"/>
      <c r="S126" s="272" t="s"/>
      <c r="T126" s="272" t="s"/>
      <c r="U126" s="272" t="s"/>
      <c r="V126" s="272" t="s"/>
      <c r="W126" s="272" t="s"/>
      <c r="X126" s="272" t="s"/>
      <c r="Y126" s="272" t="s"/>
    </row>
    <row r="127" spans="1:25">
      <c r="A127" s="272" t="s"/>
      <c r="B127" s="272" t="s"/>
      <c r="C127" s="271" t="s"/>
      <c r="D127" s="272" t="s"/>
      <c r="E127" s="271" t="s"/>
      <c r="F127" s="272" t="s"/>
      <c r="G127" s="272" t="s"/>
      <c r="H127" s="271" t="s"/>
      <c r="I127" s="272" t="s"/>
      <c r="J127" s="272" t="s"/>
      <c r="K127" s="272" t="s"/>
      <c r="L127" s="272" t="s"/>
      <c r="M127" s="272" t="s"/>
      <c r="N127" s="272" t="s"/>
      <c r="O127" s="272" t="s"/>
      <c r="P127" s="272" t="s"/>
      <c r="Q127" s="272" t="s"/>
      <c r="R127" s="272" t="s"/>
      <c r="S127" s="272" t="s"/>
      <c r="T127" s="272" t="s"/>
      <c r="U127" s="272" t="s"/>
      <c r="V127" s="272" t="s"/>
      <c r="W127" s="272" t="s"/>
      <c r="X127" s="272" t="s"/>
      <c r="Y127" s="272" t="s"/>
    </row>
    <row r="128" spans="1:25">
      <c r="A128" s="272" t="s"/>
      <c r="B128" s="272" t="s"/>
      <c r="C128" s="271" t="s"/>
      <c r="D128" s="272" t="s"/>
      <c r="E128" s="271" t="s"/>
      <c r="F128" s="272" t="s"/>
      <c r="G128" s="272" t="s"/>
      <c r="H128" s="271" t="s"/>
      <c r="I128" s="272" t="s"/>
      <c r="J128" s="272" t="s"/>
      <c r="K128" s="272" t="s"/>
      <c r="L128" s="272" t="s"/>
      <c r="M128" s="272" t="s"/>
      <c r="N128" s="272" t="s"/>
      <c r="O128" s="272" t="s"/>
      <c r="P128" s="272" t="s"/>
      <c r="Q128" s="272" t="s"/>
      <c r="R128" s="272" t="s"/>
      <c r="S128" s="272" t="s"/>
      <c r="T128" s="272" t="s"/>
      <c r="U128" s="272" t="s"/>
      <c r="V128" s="272" t="s"/>
      <c r="W128" s="272" t="s"/>
      <c r="X128" s="272" t="s"/>
      <c r="Y128" s="272" t="s"/>
    </row>
    <row r="129" spans="1:25">
      <c r="A129" s="272" t="s"/>
      <c r="B129" s="272" t="s"/>
      <c r="C129" s="271" t="s"/>
      <c r="D129" s="272" t="s"/>
      <c r="E129" s="271" t="s"/>
      <c r="F129" s="272" t="s"/>
      <c r="G129" s="272" t="s"/>
      <c r="H129" s="271" t="s"/>
      <c r="I129" s="272" t="s"/>
      <c r="J129" s="272" t="s"/>
      <c r="K129" s="272" t="s"/>
      <c r="L129" s="272" t="s"/>
      <c r="M129" s="272" t="s"/>
      <c r="N129" s="272" t="s"/>
      <c r="O129" s="272" t="s"/>
      <c r="P129" s="272" t="s"/>
      <c r="Q129" s="272" t="s"/>
      <c r="R129" s="272" t="s"/>
      <c r="S129" s="272" t="s"/>
      <c r="T129" s="272" t="s"/>
      <c r="U129" s="272" t="s"/>
      <c r="V129" s="272" t="s"/>
      <c r="W129" s="272" t="s"/>
      <c r="X129" s="272" t="s"/>
      <c r="Y129" s="272" t="s"/>
    </row>
    <row r="130" spans="1:25">
      <c r="A130" s="272" t="s"/>
      <c r="B130" s="272" t="s"/>
      <c r="C130" s="271" t="s"/>
      <c r="D130" s="272" t="s"/>
      <c r="E130" s="271" t="s"/>
      <c r="F130" s="272" t="s"/>
      <c r="G130" s="272" t="s"/>
      <c r="H130" s="271" t="s"/>
      <c r="I130" s="272" t="s"/>
      <c r="J130" s="272" t="s"/>
      <c r="K130" s="272" t="s"/>
      <c r="L130" s="272" t="s"/>
      <c r="M130" s="272" t="s"/>
      <c r="N130" s="272" t="s"/>
      <c r="O130" s="272" t="s"/>
      <c r="P130" s="272" t="s"/>
      <c r="Q130" s="272" t="s"/>
      <c r="R130" s="272" t="s"/>
      <c r="S130" s="272" t="s"/>
      <c r="T130" s="272" t="s"/>
      <c r="U130" s="272" t="s"/>
      <c r="V130" s="272" t="s"/>
      <c r="W130" s="272" t="s"/>
      <c r="X130" s="272" t="s"/>
      <c r="Y130" s="272" t="s"/>
    </row>
    <row r="131" spans="1:25">
      <c r="A131" s="272" t="s"/>
      <c r="B131" s="272" t="s"/>
      <c r="C131" s="271" t="s"/>
      <c r="D131" s="272" t="s"/>
      <c r="E131" s="271" t="s"/>
      <c r="F131" s="272" t="s"/>
      <c r="G131" s="272" t="s"/>
      <c r="H131" s="271" t="s"/>
      <c r="I131" s="272" t="s"/>
      <c r="J131" s="272" t="s"/>
      <c r="K131" s="272" t="s"/>
      <c r="L131" s="272" t="s"/>
      <c r="M131" s="272" t="s"/>
      <c r="N131" s="272" t="s"/>
      <c r="O131" s="272" t="s"/>
      <c r="P131" s="272" t="s"/>
      <c r="Q131" s="272" t="s"/>
      <c r="R131" s="272" t="s"/>
      <c r="S131" s="272" t="s"/>
      <c r="T131" s="272" t="s"/>
      <c r="U131" s="272" t="s"/>
      <c r="V131" s="272" t="s"/>
      <c r="W131" s="272" t="s"/>
      <c r="X131" s="272" t="s"/>
      <c r="Y131" s="272" t="s"/>
    </row>
    <row r="132" spans="1:25">
      <c r="A132" s="272" t="s"/>
      <c r="B132" s="272" t="s"/>
      <c r="C132" s="271" t="s"/>
      <c r="D132" s="272" t="s"/>
      <c r="E132" s="271" t="s"/>
      <c r="F132" s="272" t="s"/>
      <c r="G132" s="272" t="s"/>
      <c r="H132" s="271" t="s"/>
      <c r="I132" s="272" t="s"/>
      <c r="J132" s="272" t="s"/>
      <c r="K132" s="272" t="s"/>
      <c r="L132" s="272" t="s"/>
      <c r="M132" s="272" t="s"/>
      <c r="N132" s="272" t="s"/>
      <c r="O132" s="272" t="s"/>
      <c r="P132" s="272" t="s"/>
      <c r="Q132" s="272" t="s"/>
      <c r="R132" s="272" t="s"/>
      <c r="S132" s="272" t="s"/>
      <c r="T132" s="272" t="s"/>
      <c r="U132" s="272" t="s"/>
      <c r="V132" s="272" t="s"/>
      <c r="W132" s="272" t="s"/>
      <c r="X132" s="272" t="s"/>
      <c r="Y132" s="272" t="s"/>
    </row>
    <row r="133" spans="1:25">
      <c r="A133" s="272" t="s"/>
      <c r="B133" s="272" t="s"/>
      <c r="C133" s="271" t="s"/>
      <c r="D133" s="272" t="s"/>
      <c r="E133" s="271" t="s"/>
      <c r="F133" s="272" t="s"/>
      <c r="G133" s="272" t="s"/>
      <c r="H133" s="271" t="s"/>
      <c r="I133" s="272" t="s"/>
      <c r="J133" s="272" t="s"/>
      <c r="K133" s="272" t="s"/>
      <c r="L133" s="272" t="s"/>
      <c r="M133" s="272" t="s"/>
      <c r="N133" s="272" t="s"/>
      <c r="O133" s="272" t="s"/>
      <c r="P133" s="272" t="s"/>
      <c r="Q133" s="272" t="s"/>
      <c r="R133" s="272" t="s"/>
      <c r="S133" s="272" t="s"/>
      <c r="T133" s="272" t="s"/>
      <c r="U133" s="272" t="s"/>
      <c r="V133" s="272" t="s"/>
      <c r="W133" s="272" t="s"/>
      <c r="X133" s="272" t="s"/>
      <c r="Y133" s="272" t="s"/>
    </row>
    <row r="134" spans="1:25">
      <c r="A134" s="272" t="s"/>
      <c r="B134" s="272" t="s"/>
      <c r="C134" s="271" t="s"/>
      <c r="D134" s="272" t="s"/>
      <c r="E134" s="271" t="s"/>
      <c r="F134" s="272" t="s"/>
      <c r="G134" s="272" t="s"/>
      <c r="H134" s="271" t="s"/>
      <c r="I134" s="272" t="s"/>
      <c r="J134" s="272" t="s"/>
      <c r="K134" s="272" t="s"/>
      <c r="L134" s="272" t="s"/>
      <c r="M134" s="272" t="s"/>
      <c r="N134" s="272" t="s"/>
      <c r="O134" s="272" t="s"/>
      <c r="P134" s="272" t="s"/>
      <c r="Q134" s="272" t="s"/>
      <c r="R134" s="272" t="s"/>
      <c r="S134" s="272" t="s"/>
      <c r="T134" s="272" t="s"/>
      <c r="U134" s="272" t="s"/>
      <c r="V134" s="272" t="s"/>
      <c r="W134" s="272" t="s"/>
      <c r="X134" s="272" t="s"/>
      <c r="Y134" s="272" t="s"/>
    </row>
    <row r="135" spans="1:25">
      <c r="A135" s="272" t="s"/>
      <c r="B135" s="272" t="s"/>
      <c r="C135" s="271" t="s"/>
      <c r="D135" s="272" t="s"/>
      <c r="E135" s="271" t="s"/>
      <c r="F135" s="272" t="s"/>
      <c r="G135" s="272" t="s"/>
      <c r="H135" s="271" t="s"/>
      <c r="I135" s="272" t="s"/>
      <c r="J135" s="272" t="s"/>
      <c r="K135" s="272" t="s"/>
      <c r="L135" s="272" t="s"/>
      <c r="M135" s="272" t="s"/>
      <c r="N135" s="272" t="s"/>
      <c r="O135" s="272" t="s"/>
      <c r="P135" s="272" t="s"/>
      <c r="Q135" s="272" t="s"/>
      <c r="R135" s="272" t="s"/>
      <c r="S135" s="272" t="s"/>
      <c r="T135" s="272" t="s"/>
      <c r="U135" s="272" t="s"/>
      <c r="V135" s="272" t="s"/>
      <c r="W135" s="272" t="s"/>
      <c r="X135" s="272" t="s"/>
      <c r="Y135" s="272" t="s"/>
    </row>
    <row r="136" spans="1:25">
      <c r="A136" s="272" t="s"/>
      <c r="B136" s="272" t="s"/>
      <c r="C136" s="271" t="s"/>
      <c r="D136" s="272" t="s"/>
      <c r="E136" s="271" t="s"/>
      <c r="F136" s="272" t="s"/>
      <c r="G136" s="272" t="s"/>
      <c r="H136" s="271" t="s"/>
      <c r="I136" s="272" t="s"/>
      <c r="J136" s="272" t="s"/>
      <c r="K136" s="272" t="s"/>
      <c r="L136" s="272" t="s"/>
      <c r="M136" s="272" t="s"/>
      <c r="N136" s="272" t="s"/>
      <c r="O136" s="272" t="s"/>
      <c r="P136" s="272" t="s"/>
      <c r="Q136" s="272" t="s"/>
      <c r="R136" s="272" t="s"/>
      <c r="S136" s="272" t="s"/>
      <c r="T136" s="272" t="s"/>
      <c r="U136" s="272" t="s"/>
      <c r="V136" s="272" t="s"/>
      <c r="W136" s="272" t="s"/>
      <c r="X136" s="272" t="s"/>
      <c r="Y136" s="272" t="s"/>
    </row>
    <row r="137" spans="1:25">
      <c r="A137" s="272" t="s"/>
      <c r="B137" s="272" t="s"/>
      <c r="C137" s="271" t="s"/>
      <c r="D137" s="272" t="s"/>
      <c r="E137" s="271" t="s"/>
      <c r="F137" s="272" t="s"/>
      <c r="G137" s="272" t="s"/>
      <c r="H137" s="271" t="s"/>
      <c r="I137" s="272" t="s"/>
      <c r="J137" s="272" t="s"/>
      <c r="K137" s="272" t="s"/>
      <c r="L137" s="272" t="s"/>
      <c r="M137" s="272" t="s"/>
      <c r="N137" s="272" t="s"/>
      <c r="O137" s="272" t="s"/>
      <c r="P137" s="272" t="s"/>
      <c r="Q137" s="272" t="s"/>
      <c r="R137" s="272" t="s"/>
      <c r="S137" s="272" t="s"/>
      <c r="T137" s="272" t="s"/>
      <c r="U137" s="272" t="s"/>
      <c r="V137" s="272" t="s"/>
      <c r="W137" s="272" t="s"/>
      <c r="X137" s="272" t="s"/>
      <c r="Y137" s="272" t="s"/>
    </row>
    <row r="138" spans="1:25">
      <c r="A138" s="272" t="s"/>
      <c r="B138" s="272" t="s"/>
      <c r="C138" s="271" t="s"/>
      <c r="D138" s="272" t="s"/>
      <c r="E138" s="271" t="s"/>
      <c r="F138" s="272" t="s"/>
      <c r="G138" s="272" t="s"/>
      <c r="H138" s="271" t="s"/>
      <c r="I138" s="272" t="s"/>
      <c r="J138" s="272" t="s"/>
      <c r="K138" s="272" t="s"/>
      <c r="L138" s="272" t="s"/>
      <c r="M138" s="272" t="s"/>
      <c r="N138" s="272" t="s"/>
      <c r="O138" s="272" t="s"/>
      <c r="P138" s="272" t="s"/>
      <c r="Q138" s="272" t="s"/>
      <c r="R138" s="272" t="s"/>
      <c r="S138" s="272" t="s"/>
      <c r="T138" s="272" t="s"/>
      <c r="U138" s="272" t="s"/>
      <c r="V138" s="272" t="s"/>
      <c r="W138" s="272" t="s"/>
      <c r="X138" s="272" t="s"/>
      <c r="Y138" s="272" t="s"/>
    </row>
    <row r="139" spans="1:25">
      <c r="A139" s="272" t="s"/>
      <c r="B139" s="272" t="s"/>
      <c r="C139" s="271" t="s"/>
      <c r="D139" s="272" t="s"/>
      <c r="E139" s="271" t="s"/>
      <c r="F139" s="272" t="s"/>
      <c r="G139" s="272" t="s"/>
      <c r="H139" s="271" t="s"/>
      <c r="I139" s="272" t="s"/>
      <c r="J139" s="272" t="s"/>
      <c r="K139" s="272" t="s"/>
      <c r="L139" s="272" t="s"/>
      <c r="M139" s="272" t="s"/>
      <c r="N139" s="272" t="s"/>
      <c r="O139" s="272" t="s"/>
      <c r="P139" s="272" t="s"/>
      <c r="Q139" s="272" t="s"/>
      <c r="R139" s="272" t="s"/>
      <c r="S139" s="272" t="s"/>
      <c r="T139" s="272" t="s"/>
      <c r="U139" s="272" t="s"/>
      <c r="V139" s="272" t="s"/>
      <c r="W139" s="272" t="s"/>
      <c r="X139" s="272" t="s"/>
      <c r="Y139" s="272" t="s"/>
    </row>
    <row r="140" spans="1:25">
      <c r="A140" s="272" t="s"/>
      <c r="B140" s="272" t="s"/>
      <c r="C140" s="271" t="s"/>
      <c r="D140" s="272" t="s"/>
      <c r="E140" s="271" t="s"/>
      <c r="F140" s="272" t="s"/>
      <c r="G140" s="272" t="s"/>
      <c r="H140" s="271" t="s"/>
      <c r="I140" s="272" t="s"/>
      <c r="J140" s="272" t="s"/>
      <c r="K140" s="272" t="s"/>
      <c r="L140" s="272" t="s"/>
      <c r="M140" s="272" t="s"/>
      <c r="N140" s="272" t="s"/>
      <c r="O140" s="272" t="s"/>
      <c r="P140" s="272" t="s"/>
      <c r="Q140" s="272" t="s"/>
      <c r="R140" s="272" t="s"/>
      <c r="S140" s="272" t="s"/>
      <c r="T140" s="272" t="s"/>
      <c r="U140" s="272" t="s"/>
      <c r="V140" s="272" t="s"/>
      <c r="W140" s="272" t="s"/>
      <c r="X140" s="272" t="s"/>
      <c r="Y140" s="272" t="s"/>
    </row>
    <row r="141" spans="1:25">
      <c r="A141" s="272" t="s"/>
      <c r="B141" s="272" t="s"/>
      <c r="C141" s="271" t="s"/>
      <c r="D141" s="272" t="s"/>
      <c r="E141" s="271" t="s"/>
      <c r="F141" s="272" t="s"/>
      <c r="G141" s="272" t="s"/>
      <c r="H141" s="271" t="s"/>
      <c r="I141" s="272" t="s"/>
      <c r="J141" s="272" t="s"/>
      <c r="K141" s="272" t="s"/>
      <c r="L141" s="272" t="s"/>
      <c r="M141" s="272" t="s"/>
      <c r="N141" s="272" t="s"/>
      <c r="O141" s="272" t="s"/>
      <c r="P141" s="272" t="s"/>
      <c r="Q141" s="272" t="s"/>
      <c r="R141" s="272" t="s"/>
      <c r="S141" s="272" t="s"/>
      <c r="T141" s="272" t="s"/>
      <c r="U141" s="272" t="s"/>
      <c r="V141" s="272" t="s"/>
      <c r="W141" s="272" t="s"/>
      <c r="X141" s="272" t="s"/>
      <c r="Y141" s="272" t="s"/>
    </row>
    <row r="142" spans="1:25">
      <c r="A142" s="272" t="s"/>
      <c r="B142" s="272" t="s"/>
      <c r="C142" s="271" t="s"/>
      <c r="D142" s="272" t="s"/>
      <c r="E142" s="271" t="s"/>
      <c r="F142" s="272" t="s"/>
      <c r="G142" s="272" t="s"/>
      <c r="H142" s="271" t="s"/>
      <c r="I142" s="272" t="s"/>
      <c r="J142" s="272" t="s"/>
      <c r="K142" s="272" t="s"/>
      <c r="L142" s="272" t="s"/>
      <c r="M142" s="272" t="s"/>
      <c r="N142" s="272" t="s"/>
      <c r="O142" s="272" t="s"/>
      <c r="P142" s="272" t="s"/>
      <c r="Q142" s="272" t="s"/>
      <c r="R142" s="272" t="s"/>
      <c r="S142" s="272" t="s"/>
      <c r="T142" s="272" t="s"/>
      <c r="U142" s="272" t="s"/>
      <c r="V142" s="272" t="s"/>
      <c r="W142" s="272" t="s"/>
      <c r="X142" s="272" t="s"/>
      <c r="Y142" s="272" t="s"/>
    </row>
    <row r="143" spans="1:25">
      <c r="A143" s="272" t="s"/>
      <c r="B143" s="272" t="s"/>
      <c r="C143" s="271" t="s"/>
      <c r="D143" s="272" t="s"/>
      <c r="E143" s="271" t="s"/>
      <c r="F143" s="272" t="s"/>
      <c r="G143" s="272" t="s"/>
      <c r="H143" s="271" t="s"/>
      <c r="I143" s="272" t="s"/>
      <c r="J143" s="272" t="s"/>
      <c r="K143" s="272" t="s"/>
      <c r="L143" s="272" t="s"/>
      <c r="M143" s="272" t="s"/>
      <c r="N143" s="272" t="s"/>
      <c r="O143" s="272" t="s"/>
      <c r="P143" s="272" t="s"/>
      <c r="Q143" s="272" t="s"/>
      <c r="R143" s="272" t="s"/>
      <c r="S143" s="272" t="s"/>
      <c r="T143" s="272" t="s"/>
      <c r="U143" s="272" t="s"/>
      <c r="V143" s="272" t="s"/>
      <c r="W143" s="272" t="s"/>
      <c r="X143" s="272" t="s"/>
      <c r="Y143" s="272" t="s"/>
    </row>
    <row r="144" spans="1:25">
      <c r="A144" s="272" t="s"/>
      <c r="B144" s="272" t="s"/>
      <c r="C144" s="271" t="s"/>
      <c r="D144" s="272" t="s"/>
      <c r="E144" s="271" t="s"/>
      <c r="F144" s="272" t="s"/>
      <c r="G144" s="272" t="s"/>
      <c r="H144" s="271" t="s"/>
      <c r="I144" s="272" t="s"/>
      <c r="J144" s="272" t="s"/>
      <c r="K144" s="272" t="s"/>
      <c r="L144" s="272" t="s"/>
      <c r="M144" s="272" t="s"/>
      <c r="N144" s="272" t="s"/>
      <c r="O144" s="272" t="s"/>
      <c r="P144" s="272" t="s"/>
      <c r="Q144" s="272" t="s"/>
      <c r="R144" s="272" t="s"/>
      <c r="S144" s="272" t="s"/>
      <c r="T144" s="272" t="s"/>
      <c r="U144" s="272" t="s"/>
      <c r="V144" s="272" t="s"/>
      <c r="W144" s="272" t="s"/>
      <c r="X144" s="272" t="s"/>
      <c r="Y144" s="272" t="s"/>
    </row>
    <row r="145" spans="1:25">
      <c r="A145" s="272" t="s"/>
      <c r="B145" s="272" t="s"/>
      <c r="C145" s="271" t="s"/>
      <c r="D145" s="272" t="s"/>
      <c r="E145" s="271" t="s"/>
      <c r="F145" s="272" t="s"/>
      <c r="G145" s="272" t="s"/>
      <c r="H145" s="271" t="s"/>
      <c r="I145" s="272" t="s"/>
      <c r="J145" s="272" t="s"/>
      <c r="K145" s="272" t="s"/>
      <c r="L145" s="272" t="s"/>
      <c r="M145" s="272" t="s"/>
      <c r="N145" s="272" t="s"/>
      <c r="O145" s="272" t="s"/>
      <c r="P145" s="272" t="s"/>
      <c r="Q145" s="272" t="s"/>
      <c r="R145" s="272" t="s"/>
      <c r="S145" s="272" t="s"/>
      <c r="T145" s="272" t="s"/>
      <c r="U145" s="272" t="s"/>
      <c r="V145" s="272" t="s"/>
      <c r="W145" s="272" t="s"/>
      <c r="X145" s="272" t="s"/>
      <c r="Y145" s="272" t="s"/>
    </row>
    <row r="146" spans="1:25">
      <c r="A146" s="272" t="s"/>
      <c r="B146" s="272" t="s"/>
      <c r="C146" s="271" t="s"/>
      <c r="D146" s="272" t="s"/>
      <c r="E146" s="271" t="s"/>
      <c r="F146" s="272" t="s"/>
      <c r="G146" s="272" t="s"/>
      <c r="H146" s="271" t="s"/>
      <c r="I146" s="272" t="s"/>
      <c r="J146" s="272" t="s"/>
      <c r="K146" s="272" t="s"/>
      <c r="L146" s="272" t="s"/>
      <c r="M146" s="272" t="s"/>
      <c r="N146" s="272" t="s"/>
      <c r="O146" s="272" t="s"/>
      <c r="P146" s="272" t="s"/>
      <c r="Q146" s="272" t="s"/>
      <c r="R146" s="272" t="s"/>
      <c r="S146" s="272" t="s"/>
      <c r="T146" s="272" t="s"/>
      <c r="U146" s="272" t="s"/>
      <c r="V146" s="272" t="s"/>
      <c r="W146" s="272" t="s"/>
      <c r="X146" s="272" t="s"/>
      <c r="Y146" s="272" t="s"/>
    </row>
    <row r="147" spans="1:25">
      <c r="A147" s="272" t="s"/>
      <c r="B147" s="272" t="s"/>
      <c r="C147" s="271" t="s"/>
      <c r="D147" s="272" t="s"/>
      <c r="E147" s="271" t="s"/>
      <c r="F147" s="272" t="s"/>
      <c r="G147" s="272" t="s"/>
      <c r="H147" s="271" t="s"/>
      <c r="I147" s="272" t="s"/>
      <c r="J147" s="272" t="s"/>
      <c r="K147" s="272" t="s"/>
      <c r="L147" s="272" t="s"/>
      <c r="M147" s="272" t="s"/>
      <c r="N147" s="272" t="s"/>
      <c r="O147" s="272" t="s"/>
      <c r="P147" s="272" t="s"/>
      <c r="Q147" s="272" t="s"/>
      <c r="R147" s="272" t="s"/>
      <c r="S147" s="272" t="s"/>
      <c r="T147" s="272" t="s"/>
      <c r="U147" s="272" t="s"/>
      <c r="V147" s="272" t="s"/>
      <c r="W147" s="272" t="s"/>
      <c r="X147" s="272" t="s"/>
      <c r="Y147" s="272" t="s"/>
    </row>
    <row r="148" spans="1:25">
      <c r="A148" s="272" t="s"/>
      <c r="B148" s="272" t="s"/>
      <c r="C148" s="271" t="s"/>
      <c r="D148" s="272" t="s"/>
      <c r="E148" s="271" t="s"/>
      <c r="F148" s="272" t="s"/>
      <c r="G148" s="272" t="s"/>
      <c r="H148" s="271" t="s"/>
      <c r="I148" s="272" t="s"/>
      <c r="J148" s="272" t="s"/>
      <c r="K148" s="272" t="s"/>
      <c r="L148" s="272" t="s"/>
      <c r="M148" s="272" t="s"/>
      <c r="N148" s="272" t="s"/>
      <c r="O148" s="272" t="s"/>
      <c r="P148" s="272" t="s"/>
      <c r="Q148" s="272" t="s"/>
      <c r="R148" s="272" t="s"/>
      <c r="S148" s="272" t="s"/>
      <c r="T148" s="272" t="s"/>
      <c r="U148" s="272" t="s"/>
      <c r="V148" s="272" t="s"/>
      <c r="W148" s="272" t="s"/>
      <c r="X148" s="272" t="s"/>
      <c r="Y148" s="272" t="s"/>
    </row>
    <row r="149" spans="1:25">
      <c r="A149" s="272" t="s"/>
      <c r="B149" s="272" t="s"/>
      <c r="C149" s="271" t="s"/>
      <c r="D149" s="272" t="s"/>
      <c r="E149" s="271" t="s"/>
      <c r="F149" s="272" t="s"/>
      <c r="G149" s="272" t="s"/>
      <c r="H149" s="271" t="s"/>
      <c r="I149" s="272" t="s"/>
      <c r="J149" s="272" t="s"/>
      <c r="K149" s="272" t="s"/>
      <c r="L149" s="272" t="s"/>
      <c r="M149" s="272" t="s"/>
      <c r="N149" s="272" t="s"/>
      <c r="O149" s="272" t="s"/>
      <c r="P149" s="272" t="s"/>
      <c r="Q149" s="272" t="s"/>
      <c r="R149" s="272" t="s"/>
      <c r="S149" s="272" t="s"/>
      <c r="T149" s="272" t="s"/>
      <c r="U149" s="272" t="s"/>
      <c r="V149" s="272" t="s"/>
      <c r="W149" s="272" t="s"/>
      <c r="X149" s="272" t="s"/>
      <c r="Y149" s="272" t="s"/>
    </row>
    <row r="150" spans="1:25">
      <c r="A150" s="272" t="s"/>
      <c r="B150" s="272" t="s"/>
      <c r="C150" s="271" t="s"/>
      <c r="D150" s="272" t="s"/>
      <c r="E150" s="271" t="s"/>
      <c r="F150" s="272" t="s"/>
      <c r="G150" s="272" t="s"/>
      <c r="H150" s="271" t="s"/>
      <c r="I150" s="272" t="s"/>
      <c r="J150" s="272" t="s"/>
      <c r="K150" s="272" t="s"/>
      <c r="L150" s="272" t="s"/>
      <c r="M150" s="272" t="s"/>
      <c r="N150" s="272" t="s"/>
      <c r="O150" s="272" t="s"/>
      <c r="P150" s="272" t="s"/>
      <c r="Q150" s="272" t="s"/>
      <c r="R150" s="272" t="s"/>
      <c r="S150" s="272" t="s"/>
      <c r="T150" s="272" t="s"/>
      <c r="U150" s="272" t="s"/>
      <c r="V150" s="272" t="s"/>
      <c r="W150" s="272" t="s"/>
      <c r="X150" s="272" t="s"/>
      <c r="Y150" s="272" t="s"/>
    </row>
    <row r="151" spans="1:25">
      <c r="A151" s="272" t="s"/>
      <c r="B151" s="272" t="s"/>
      <c r="C151" s="271" t="s"/>
      <c r="D151" s="272" t="s"/>
      <c r="E151" s="271" t="s"/>
      <c r="F151" s="272" t="s"/>
      <c r="G151" s="272" t="s"/>
      <c r="H151" s="271" t="s"/>
      <c r="I151" s="272" t="s"/>
      <c r="J151" s="272" t="s"/>
      <c r="K151" s="272" t="s"/>
      <c r="L151" s="272" t="s"/>
      <c r="M151" s="272" t="s"/>
      <c r="N151" s="272" t="s"/>
      <c r="O151" s="272" t="s"/>
      <c r="P151" s="272" t="s"/>
      <c r="Q151" s="272" t="s"/>
      <c r="R151" s="272" t="s"/>
      <c r="S151" s="272" t="s"/>
      <c r="T151" s="272" t="s"/>
      <c r="U151" s="272" t="s"/>
      <c r="V151" s="272" t="s"/>
      <c r="W151" s="272" t="s"/>
      <c r="X151" s="272" t="s"/>
      <c r="Y151" s="272" t="s"/>
    </row>
    <row r="152" spans="1:25">
      <c r="A152" s="272" t="s"/>
      <c r="B152" s="272" t="s"/>
      <c r="C152" s="271" t="s"/>
      <c r="D152" s="272" t="s"/>
      <c r="E152" s="271" t="s"/>
      <c r="F152" s="272" t="s"/>
      <c r="G152" s="272" t="s"/>
      <c r="H152" s="271" t="s"/>
      <c r="I152" s="272" t="s"/>
      <c r="J152" s="272" t="s"/>
      <c r="K152" s="272" t="s"/>
      <c r="L152" s="272" t="s"/>
      <c r="M152" s="272" t="s"/>
      <c r="N152" s="272" t="s"/>
      <c r="O152" s="272" t="s"/>
      <c r="P152" s="272" t="s"/>
      <c r="Q152" s="272" t="s"/>
      <c r="R152" s="272" t="s"/>
      <c r="S152" s="272" t="s"/>
      <c r="T152" s="272" t="s"/>
      <c r="U152" s="272" t="s"/>
      <c r="V152" s="272" t="s"/>
      <c r="W152" s="272" t="s"/>
      <c r="X152" s="272" t="s"/>
      <c r="Y152" s="272" t="s"/>
    </row>
    <row r="153" spans="1:25">
      <c r="A153" s="272" t="s"/>
      <c r="B153" s="272" t="s"/>
      <c r="C153" s="271" t="s"/>
      <c r="D153" s="272" t="s"/>
      <c r="E153" s="271" t="s"/>
      <c r="F153" s="272" t="s"/>
      <c r="G153" s="272" t="s"/>
      <c r="H153" s="271" t="s"/>
      <c r="I153" s="272" t="s"/>
      <c r="J153" s="272" t="s"/>
      <c r="K153" s="272" t="s"/>
      <c r="L153" s="272" t="s"/>
      <c r="M153" s="272" t="s"/>
      <c r="N153" s="272" t="s"/>
      <c r="O153" s="272" t="s"/>
      <c r="P153" s="272" t="s"/>
      <c r="Q153" s="272" t="s"/>
      <c r="R153" s="272" t="s"/>
      <c r="S153" s="272" t="s"/>
      <c r="T153" s="272" t="s"/>
      <c r="U153" s="272" t="s"/>
      <c r="V153" s="272" t="s"/>
      <c r="W153" s="272" t="s"/>
      <c r="X153" s="272" t="s"/>
      <c r="Y153" s="272" t="s"/>
    </row>
    <row r="154" spans="1:25">
      <c r="A154" s="272" t="s"/>
      <c r="B154" s="272" t="s"/>
      <c r="C154" s="271" t="s"/>
      <c r="D154" s="272" t="s"/>
      <c r="E154" s="271" t="s"/>
      <c r="F154" s="272" t="s"/>
      <c r="G154" s="272" t="s"/>
      <c r="H154" s="271" t="s"/>
      <c r="I154" s="272" t="s"/>
      <c r="J154" s="272" t="s"/>
      <c r="K154" s="272" t="s"/>
      <c r="L154" s="272" t="s"/>
      <c r="M154" s="272" t="s"/>
      <c r="N154" s="272" t="s"/>
      <c r="O154" s="272" t="s"/>
      <c r="P154" s="272" t="s"/>
      <c r="Q154" s="272" t="s"/>
      <c r="R154" s="272" t="s"/>
      <c r="S154" s="272" t="s"/>
      <c r="T154" s="272" t="s"/>
      <c r="U154" s="272" t="s"/>
      <c r="V154" s="272" t="s"/>
      <c r="W154" s="272" t="s"/>
      <c r="X154" s="272" t="s"/>
      <c r="Y154" s="272" t="s"/>
    </row>
    <row r="155" spans="1:25">
      <c r="A155" s="272" t="s"/>
      <c r="B155" s="272" t="s"/>
      <c r="C155" s="271" t="s"/>
      <c r="D155" s="272" t="s"/>
      <c r="E155" s="271" t="s"/>
      <c r="F155" s="272" t="s"/>
      <c r="G155" s="272" t="s"/>
      <c r="H155" s="271" t="s"/>
      <c r="I155" s="272" t="s"/>
      <c r="J155" s="272" t="s"/>
      <c r="K155" s="272" t="s"/>
      <c r="L155" s="272" t="s"/>
      <c r="M155" s="272" t="s"/>
      <c r="N155" s="272" t="s"/>
      <c r="O155" s="272" t="s"/>
      <c r="P155" s="272" t="s"/>
      <c r="Q155" s="272" t="s"/>
      <c r="R155" s="272" t="s"/>
      <c r="S155" s="272" t="s"/>
      <c r="T155" s="272" t="s"/>
      <c r="U155" s="272" t="s"/>
      <c r="V155" s="272" t="s"/>
      <c r="W155" s="272" t="s"/>
      <c r="X155" s="272" t="s"/>
      <c r="Y155" s="272" t="s"/>
    </row>
    <row r="156" spans="1:25">
      <c r="A156" s="272" t="s"/>
      <c r="B156" s="272" t="s"/>
      <c r="C156" s="271" t="s"/>
      <c r="D156" s="272" t="s"/>
      <c r="E156" s="271" t="s"/>
      <c r="F156" s="272" t="s"/>
      <c r="G156" s="272" t="s"/>
      <c r="H156" s="271" t="s"/>
      <c r="I156" s="272" t="s"/>
      <c r="J156" s="272" t="s"/>
      <c r="K156" s="272" t="s"/>
      <c r="L156" s="272" t="s"/>
      <c r="M156" s="272" t="s"/>
      <c r="N156" s="272" t="s"/>
      <c r="O156" s="272" t="s"/>
      <c r="P156" s="272" t="s"/>
      <c r="Q156" s="272" t="s"/>
      <c r="R156" s="272" t="s"/>
      <c r="S156" s="272" t="s"/>
      <c r="T156" s="272" t="s"/>
      <c r="U156" s="272" t="s"/>
      <c r="V156" s="272" t="s"/>
      <c r="W156" s="272" t="s"/>
      <c r="X156" s="272" t="s"/>
      <c r="Y156" s="272" t="s"/>
    </row>
    <row r="157" spans="1:25">
      <c r="A157" s="272" t="s"/>
      <c r="B157" s="272" t="s"/>
      <c r="C157" s="271" t="s"/>
      <c r="D157" s="272" t="s"/>
      <c r="E157" s="271" t="s"/>
      <c r="F157" s="272" t="s"/>
      <c r="G157" s="272" t="s"/>
      <c r="H157" s="271" t="s"/>
      <c r="I157" s="272" t="s"/>
      <c r="J157" s="272" t="s"/>
      <c r="K157" s="272" t="s"/>
      <c r="L157" s="272" t="s"/>
      <c r="M157" s="272" t="s"/>
      <c r="N157" s="272" t="s"/>
      <c r="O157" s="272" t="s"/>
      <c r="P157" s="272" t="s"/>
      <c r="Q157" s="272" t="s"/>
      <c r="R157" s="272" t="s"/>
      <c r="S157" s="272" t="s"/>
      <c r="T157" s="272" t="s"/>
      <c r="U157" s="272" t="s"/>
      <c r="V157" s="272" t="s"/>
      <c r="W157" s="272" t="s"/>
      <c r="X157" s="272" t="s"/>
      <c r="Y157" s="272" t="s"/>
    </row>
    <row r="158" spans="1:25">
      <c r="A158" s="272" t="s"/>
      <c r="B158" s="272" t="s"/>
      <c r="C158" s="271" t="s"/>
      <c r="D158" s="272" t="s"/>
      <c r="E158" s="271" t="s"/>
      <c r="F158" s="272" t="s"/>
      <c r="G158" s="272" t="s"/>
      <c r="H158" s="271" t="s"/>
      <c r="I158" s="272" t="s"/>
      <c r="J158" s="272" t="s"/>
      <c r="K158" s="272" t="s"/>
      <c r="L158" s="272" t="s"/>
      <c r="M158" s="272" t="s"/>
      <c r="N158" s="272" t="s"/>
      <c r="O158" s="272" t="s"/>
      <c r="P158" s="272" t="s"/>
      <c r="Q158" s="272" t="s"/>
      <c r="R158" s="272" t="s"/>
      <c r="S158" s="272" t="s"/>
      <c r="T158" s="272" t="s"/>
      <c r="U158" s="272" t="s"/>
      <c r="V158" s="272" t="s"/>
      <c r="W158" s="272" t="s"/>
      <c r="X158" s="272" t="s"/>
      <c r="Y158" s="272" t="s"/>
    </row>
    <row r="159" spans="1:25">
      <c r="A159" s="272" t="s"/>
      <c r="B159" s="272" t="s"/>
      <c r="C159" s="271" t="s"/>
      <c r="D159" s="272" t="s"/>
      <c r="E159" s="271" t="s"/>
      <c r="F159" s="272" t="s"/>
      <c r="G159" s="272" t="s"/>
      <c r="H159" s="271" t="s"/>
      <c r="I159" s="272" t="s"/>
      <c r="J159" s="272" t="s"/>
      <c r="K159" s="272" t="s"/>
      <c r="L159" s="272" t="s"/>
      <c r="M159" s="272" t="s"/>
      <c r="N159" s="272" t="s"/>
      <c r="O159" s="272" t="s"/>
      <c r="P159" s="272" t="s"/>
      <c r="Q159" s="272" t="s"/>
      <c r="R159" s="272" t="s"/>
      <c r="S159" s="272" t="s"/>
      <c r="T159" s="272" t="s"/>
      <c r="U159" s="272" t="s"/>
      <c r="V159" s="272" t="s"/>
      <c r="W159" s="272" t="s"/>
      <c r="X159" s="272" t="s"/>
      <c r="Y159" s="272" t="s"/>
    </row>
    <row r="160" spans="1:25">
      <c r="A160" s="272" t="s"/>
      <c r="B160" s="272" t="s"/>
      <c r="C160" s="271" t="s"/>
      <c r="D160" s="272" t="s"/>
      <c r="E160" s="271" t="s"/>
      <c r="F160" s="272" t="s"/>
      <c r="G160" s="272" t="s"/>
      <c r="H160" s="271" t="s"/>
      <c r="I160" s="272" t="s"/>
      <c r="J160" s="272" t="s"/>
      <c r="K160" s="272" t="s"/>
      <c r="L160" s="272" t="s"/>
      <c r="M160" s="272" t="s"/>
      <c r="N160" s="272" t="s"/>
      <c r="O160" s="272" t="s"/>
      <c r="P160" s="272" t="s"/>
      <c r="Q160" s="272" t="s"/>
      <c r="R160" s="272" t="s"/>
      <c r="S160" s="272" t="s"/>
      <c r="T160" s="272" t="s"/>
      <c r="U160" s="272" t="s"/>
      <c r="V160" s="272" t="s"/>
      <c r="W160" s="272" t="s"/>
      <c r="X160" s="272" t="s"/>
      <c r="Y160" s="272" t="s"/>
    </row>
    <row r="161" spans="1:25">
      <c r="A161" s="272" t="s"/>
      <c r="B161" s="272" t="s"/>
      <c r="C161" s="271" t="s"/>
      <c r="D161" s="272" t="s"/>
      <c r="E161" s="271" t="s"/>
      <c r="F161" s="272" t="s"/>
      <c r="G161" s="272" t="s"/>
      <c r="H161" s="271" t="s"/>
      <c r="I161" s="272" t="s"/>
      <c r="J161" s="272" t="s"/>
      <c r="K161" s="272" t="s"/>
      <c r="L161" s="272" t="s"/>
      <c r="M161" s="272" t="s"/>
      <c r="N161" s="272" t="s"/>
      <c r="O161" s="272" t="s"/>
      <c r="P161" s="272" t="s"/>
      <c r="Q161" s="272" t="s"/>
      <c r="R161" s="272" t="s"/>
      <c r="S161" s="272" t="s"/>
      <c r="T161" s="272" t="s"/>
      <c r="U161" s="272" t="s"/>
      <c r="V161" s="272" t="s"/>
      <c r="W161" s="272" t="s"/>
      <c r="X161" s="272" t="s"/>
      <c r="Y161" s="272" t="s"/>
    </row>
    <row r="162" spans="1:25">
      <c r="A162" s="272" t="s"/>
      <c r="B162" s="272" t="s"/>
      <c r="C162" s="271" t="s"/>
      <c r="D162" s="272" t="s"/>
      <c r="E162" s="271" t="s"/>
      <c r="F162" s="272" t="s"/>
      <c r="G162" s="272" t="s"/>
      <c r="H162" s="271" t="s"/>
      <c r="I162" s="272" t="s"/>
      <c r="J162" s="272" t="s"/>
      <c r="K162" s="272" t="s"/>
      <c r="L162" s="272" t="s"/>
      <c r="M162" s="272" t="s"/>
      <c r="N162" s="272" t="s"/>
      <c r="O162" s="272" t="s"/>
      <c r="P162" s="272" t="s"/>
      <c r="Q162" s="272" t="s"/>
      <c r="R162" s="272" t="s"/>
      <c r="S162" s="272" t="s"/>
      <c r="T162" s="272" t="s"/>
      <c r="U162" s="272" t="s"/>
      <c r="V162" s="272" t="s"/>
      <c r="W162" s="272" t="s"/>
      <c r="X162" s="272" t="s"/>
      <c r="Y162" s="272" t="s"/>
    </row>
    <row r="163" spans="1:25">
      <c r="A163" s="272" t="s"/>
      <c r="B163" s="272" t="s"/>
      <c r="C163" s="271" t="s"/>
      <c r="D163" s="272" t="s"/>
      <c r="E163" s="271" t="s"/>
      <c r="F163" s="272" t="s"/>
      <c r="G163" s="272" t="s"/>
      <c r="H163" s="271" t="s"/>
      <c r="I163" s="272" t="s"/>
      <c r="J163" s="272" t="s"/>
      <c r="K163" s="272" t="s"/>
      <c r="L163" s="272" t="s"/>
      <c r="M163" s="272" t="s"/>
      <c r="N163" s="272" t="s"/>
      <c r="O163" s="272" t="s"/>
      <c r="P163" s="272" t="s"/>
      <c r="Q163" s="272" t="s"/>
      <c r="R163" s="272" t="s"/>
      <c r="S163" s="272" t="s"/>
      <c r="T163" s="272" t="s"/>
      <c r="U163" s="272" t="s"/>
      <c r="V163" s="272" t="s"/>
      <c r="W163" s="272" t="s"/>
      <c r="X163" s="272" t="s"/>
      <c r="Y163" s="272" t="s"/>
    </row>
    <row r="164" spans="1:25">
      <c r="A164" s="272" t="s"/>
      <c r="B164" s="272" t="s"/>
      <c r="C164" s="271" t="s"/>
      <c r="D164" s="272" t="s"/>
      <c r="E164" s="271" t="s"/>
      <c r="F164" s="272" t="s"/>
      <c r="G164" s="272" t="s"/>
      <c r="H164" s="271" t="s"/>
      <c r="I164" s="272" t="s"/>
      <c r="J164" s="272" t="s"/>
      <c r="K164" s="272" t="s"/>
      <c r="L164" s="272" t="s"/>
      <c r="M164" s="272" t="s"/>
      <c r="N164" s="272" t="s"/>
      <c r="O164" s="272" t="s"/>
      <c r="P164" s="272" t="s"/>
      <c r="Q164" s="272" t="s"/>
      <c r="R164" s="272" t="s"/>
      <c r="S164" s="272" t="s"/>
      <c r="T164" s="272" t="s"/>
      <c r="U164" s="272" t="s"/>
      <c r="V164" s="272" t="s"/>
      <c r="W164" s="272" t="s"/>
      <c r="X164" s="272" t="s"/>
      <c r="Y164" s="272" t="s"/>
    </row>
    <row r="165" spans="1:25">
      <c r="A165" s="272" t="s"/>
      <c r="B165" s="272" t="s"/>
      <c r="C165" s="271" t="s"/>
      <c r="D165" s="272" t="s"/>
      <c r="E165" s="271" t="s"/>
      <c r="F165" s="272" t="s"/>
      <c r="G165" s="272" t="s"/>
      <c r="H165" s="271" t="s"/>
      <c r="I165" s="272" t="s"/>
      <c r="J165" s="272" t="s"/>
      <c r="K165" s="272" t="s"/>
      <c r="L165" s="272" t="s"/>
      <c r="M165" s="272" t="s"/>
      <c r="N165" s="272" t="s"/>
      <c r="O165" s="272" t="s"/>
      <c r="P165" s="272" t="s"/>
      <c r="Q165" s="272" t="s"/>
      <c r="R165" s="272" t="s"/>
      <c r="S165" s="272" t="s"/>
      <c r="T165" s="272" t="s"/>
      <c r="U165" s="272" t="s"/>
      <c r="V165" s="272" t="s"/>
      <c r="W165" s="272" t="s"/>
      <c r="X165" s="272" t="s"/>
      <c r="Y165" s="272" t="s"/>
    </row>
    <row r="166" spans="1:25">
      <c r="A166" s="272" t="s"/>
      <c r="B166" s="272" t="s"/>
      <c r="C166" s="271" t="s"/>
      <c r="D166" s="272" t="s"/>
      <c r="E166" s="271" t="s"/>
      <c r="F166" s="272" t="s"/>
      <c r="G166" s="272" t="s"/>
      <c r="H166" s="271" t="s"/>
      <c r="I166" s="272" t="s"/>
      <c r="J166" s="272" t="s"/>
      <c r="K166" s="272" t="s"/>
      <c r="L166" s="272" t="s"/>
      <c r="M166" s="272" t="s"/>
      <c r="N166" s="272" t="s"/>
      <c r="O166" s="272" t="s"/>
      <c r="P166" s="272" t="s"/>
      <c r="Q166" s="272" t="s"/>
      <c r="R166" s="272" t="s"/>
      <c r="S166" s="272" t="s"/>
      <c r="T166" s="272" t="s"/>
      <c r="U166" s="272" t="s"/>
      <c r="V166" s="272" t="s"/>
      <c r="W166" s="272" t="s"/>
      <c r="X166" s="272" t="s"/>
      <c r="Y166" s="272" t="s"/>
    </row>
    <row r="167" spans="1:25">
      <c r="A167" s="272" t="s"/>
      <c r="B167" s="272" t="s"/>
      <c r="C167" s="271" t="s"/>
      <c r="D167" s="272" t="s"/>
      <c r="E167" s="271" t="s"/>
      <c r="F167" s="272" t="s"/>
      <c r="G167" s="272" t="s"/>
      <c r="H167" s="271" t="s"/>
      <c r="I167" s="272" t="s"/>
      <c r="J167" s="272" t="s"/>
      <c r="K167" s="272" t="s"/>
      <c r="L167" s="272" t="s"/>
      <c r="M167" s="272" t="s"/>
      <c r="N167" s="272" t="s"/>
      <c r="O167" s="272" t="s"/>
      <c r="P167" s="272" t="s"/>
      <c r="Q167" s="272" t="s"/>
      <c r="R167" s="272" t="s"/>
      <c r="S167" s="272" t="s"/>
      <c r="T167" s="272" t="s"/>
      <c r="U167" s="272" t="s"/>
      <c r="V167" s="272" t="s"/>
      <c r="W167" s="272" t="s"/>
      <c r="X167" s="272" t="s"/>
      <c r="Y167" s="272" t="s"/>
    </row>
    <row r="168" spans="1:25">
      <c r="A168" s="272" t="s"/>
      <c r="B168" s="272" t="s"/>
      <c r="C168" s="271" t="s"/>
      <c r="D168" s="272" t="s"/>
      <c r="E168" s="271" t="s"/>
      <c r="F168" s="272" t="s"/>
      <c r="G168" s="272" t="s"/>
      <c r="H168" s="271" t="s"/>
      <c r="I168" s="272" t="s"/>
      <c r="J168" s="272" t="s"/>
      <c r="K168" s="272" t="s"/>
      <c r="L168" s="272" t="s"/>
      <c r="M168" s="272" t="s"/>
      <c r="N168" s="272" t="s"/>
      <c r="O168" s="272" t="s"/>
      <c r="P168" s="272" t="s"/>
      <c r="Q168" s="272" t="s"/>
      <c r="R168" s="272" t="s"/>
      <c r="S168" s="272" t="s"/>
      <c r="T168" s="272" t="s"/>
      <c r="U168" s="272" t="s"/>
      <c r="V168" s="272" t="s"/>
      <c r="W168" s="272" t="s"/>
      <c r="X168" s="272" t="s"/>
      <c r="Y168" s="272" t="s"/>
    </row>
    <row r="169" spans="1:25">
      <c r="A169" s="272" t="s"/>
      <c r="B169" s="272" t="s"/>
      <c r="C169" s="271" t="s"/>
      <c r="D169" s="272" t="s"/>
      <c r="E169" s="271" t="s"/>
      <c r="F169" s="272" t="s"/>
      <c r="G169" s="272" t="s"/>
      <c r="H169" s="271" t="s"/>
      <c r="I169" s="272" t="s"/>
      <c r="J169" s="272" t="s"/>
      <c r="K169" s="272" t="s"/>
      <c r="L169" s="272" t="s"/>
      <c r="M169" s="272" t="s"/>
      <c r="N169" s="272" t="s"/>
      <c r="O169" s="272" t="s"/>
      <c r="P169" s="272" t="s"/>
      <c r="Q169" s="272" t="s"/>
      <c r="R169" s="272" t="s"/>
      <c r="S169" s="272" t="s"/>
      <c r="T169" s="272" t="s"/>
      <c r="U169" s="272" t="s"/>
      <c r="V169" s="272" t="s"/>
      <c r="W169" s="272" t="s"/>
      <c r="X169" s="272" t="s"/>
      <c r="Y169" s="272" t="s"/>
    </row>
    <row r="170" spans="1:25">
      <c r="A170" s="272" t="s"/>
      <c r="B170" s="272" t="s"/>
      <c r="C170" s="271" t="s"/>
      <c r="D170" s="272" t="s"/>
      <c r="E170" s="271" t="s"/>
      <c r="F170" s="272" t="s"/>
      <c r="G170" s="272" t="s"/>
      <c r="H170" s="271" t="s"/>
      <c r="I170" s="272" t="s"/>
      <c r="J170" s="272" t="s"/>
      <c r="K170" s="272" t="s"/>
      <c r="L170" s="272" t="s"/>
      <c r="M170" s="272" t="s"/>
      <c r="N170" s="272" t="s"/>
      <c r="O170" s="272" t="s"/>
      <c r="P170" s="272" t="s"/>
      <c r="Q170" s="272" t="s"/>
      <c r="R170" s="272" t="s"/>
      <c r="S170" s="272" t="s"/>
      <c r="T170" s="272" t="s"/>
      <c r="U170" s="272" t="s"/>
      <c r="V170" s="272" t="s"/>
      <c r="W170" s="272" t="s"/>
      <c r="X170" s="272" t="s"/>
      <c r="Y170" s="272" t="s"/>
    </row>
    <row r="171" spans="1:25">
      <c r="A171" s="272" t="s"/>
      <c r="B171" s="272" t="s"/>
      <c r="C171" s="271" t="s"/>
      <c r="D171" s="272" t="s"/>
      <c r="E171" s="271" t="s"/>
      <c r="F171" s="272" t="s"/>
      <c r="G171" s="272" t="s"/>
      <c r="H171" s="271" t="s"/>
      <c r="I171" s="272" t="s"/>
      <c r="J171" s="272" t="s"/>
      <c r="K171" s="272" t="s"/>
      <c r="L171" s="272" t="s"/>
      <c r="M171" s="272" t="s"/>
      <c r="N171" s="272" t="s"/>
      <c r="O171" s="272" t="s"/>
      <c r="P171" s="272" t="s"/>
      <c r="Q171" s="272" t="s"/>
      <c r="R171" s="272" t="s"/>
      <c r="S171" s="272" t="s"/>
      <c r="T171" s="272" t="s"/>
      <c r="U171" s="272" t="s"/>
      <c r="V171" s="272" t="s"/>
      <c r="W171" s="272" t="s"/>
      <c r="X171" s="272" t="s"/>
      <c r="Y171" s="272" t="s"/>
    </row>
    <row r="172" spans="1:25">
      <c r="A172" s="272" t="s"/>
      <c r="B172" s="272" t="s"/>
      <c r="C172" s="271" t="s"/>
      <c r="D172" s="272" t="s"/>
      <c r="E172" s="271" t="s"/>
      <c r="F172" s="272" t="s"/>
      <c r="G172" s="272" t="s"/>
      <c r="H172" s="271" t="s"/>
      <c r="I172" s="272" t="s"/>
      <c r="J172" s="272" t="s"/>
      <c r="K172" s="272" t="s"/>
      <c r="L172" s="272" t="s"/>
      <c r="M172" s="272" t="s"/>
      <c r="N172" s="272" t="s"/>
      <c r="O172" s="272" t="s"/>
      <c r="P172" s="272" t="s"/>
      <c r="Q172" s="272" t="s"/>
      <c r="R172" s="272" t="s"/>
      <c r="S172" s="272" t="s"/>
      <c r="T172" s="272" t="s"/>
      <c r="U172" s="272" t="s"/>
      <c r="V172" s="272" t="s"/>
      <c r="W172" s="272" t="s"/>
      <c r="X172" s="272" t="s"/>
      <c r="Y172" s="272" t="s"/>
    </row>
    <row r="173" spans="1:25">
      <c r="A173" s="272" t="s"/>
      <c r="B173" s="272" t="s"/>
      <c r="C173" s="271" t="s"/>
      <c r="D173" s="272" t="s"/>
      <c r="E173" s="271" t="s"/>
      <c r="F173" s="272" t="s"/>
      <c r="G173" s="272" t="s"/>
      <c r="H173" s="271" t="s"/>
      <c r="I173" s="272" t="s"/>
      <c r="J173" s="272" t="s"/>
      <c r="K173" s="272" t="s"/>
      <c r="L173" s="272" t="s"/>
      <c r="M173" s="272" t="s"/>
      <c r="N173" s="272" t="s"/>
      <c r="O173" s="272" t="s"/>
      <c r="P173" s="272" t="s"/>
      <c r="Q173" s="272" t="s"/>
      <c r="R173" s="272" t="s"/>
      <c r="S173" s="272" t="s"/>
      <c r="T173" s="272" t="s"/>
      <c r="U173" s="272" t="s"/>
      <c r="V173" s="272" t="s"/>
      <c r="W173" s="272" t="s"/>
      <c r="X173" s="272" t="s"/>
      <c r="Y173" s="272" t="s"/>
    </row>
    <row r="174" spans="1:25">
      <c r="A174" s="272" t="s"/>
      <c r="B174" s="272" t="s"/>
      <c r="C174" s="271" t="s"/>
      <c r="D174" s="272" t="s"/>
      <c r="E174" s="271" t="s"/>
      <c r="F174" s="272" t="s"/>
      <c r="G174" s="272" t="s"/>
      <c r="H174" s="271" t="s"/>
      <c r="I174" s="272" t="s"/>
      <c r="J174" s="272" t="s"/>
      <c r="K174" s="272" t="s"/>
      <c r="L174" s="272" t="s"/>
      <c r="M174" s="272" t="s"/>
      <c r="N174" s="272" t="s"/>
      <c r="O174" s="272" t="s"/>
      <c r="P174" s="272" t="s"/>
      <c r="Q174" s="272" t="s"/>
      <c r="R174" s="272" t="s"/>
      <c r="S174" s="272" t="s"/>
      <c r="T174" s="272" t="s"/>
      <c r="U174" s="272" t="s"/>
      <c r="V174" s="272" t="s"/>
      <c r="W174" s="272" t="s"/>
      <c r="X174" s="272" t="s"/>
      <c r="Y174" s="272" t="s"/>
    </row>
    <row r="175" spans="1:25">
      <c r="A175" s="272" t="s"/>
      <c r="B175" s="272" t="s"/>
      <c r="C175" s="271" t="s"/>
      <c r="D175" s="272" t="s"/>
      <c r="E175" s="271" t="s"/>
      <c r="F175" s="272" t="s"/>
      <c r="G175" s="272" t="s"/>
      <c r="H175" s="271" t="s"/>
      <c r="I175" s="272" t="s"/>
      <c r="J175" s="272" t="s"/>
      <c r="K175" s="272" t="s"/>
      <c r="L175" s="272" t="s"/>
      <c r="M175" s="272" t="s"/>
      <c r="N175" s="272" t="s"/>
      <c r="O175" s="272" t="s"/>
      <c r="P175" s="272" t="s"/>
      <c r="Q175" s="272" t="s"/>
      <c r="R175" s="272" t="s"/>
      <c r="S175" s="272" t="s"/>
      <c r="T175" s="272" t="s"/>
      <c r="U175" s="272" t="s"/>
      <c r="V175" s="272" t="s"/>
      <c r="W175" s="272" t="s"/>
      <c r="X175" s="272" t="s"/>
      <c r="Y175" s="272" t="s"/>
    </row>
    <row r="176" spans="1:25">
      <c r="A176" s="272" t="s"/>
      <c r="B176" s="272" t="s"/>
      <c r="C176" s="271" t="s"/>
      <c r="D176" s="272" t="s"/>
      <c r="E176" s="271" t="s"/>
      <c r="F176" s="272" t="s"/>
      <c r="G176" s="272" t="s"/>
      <c r="H176" s="271" t="s"/>
      <c r="I176" s="272" t="s"/>
      <c r="J176" s="272" t="s"/>
      <c r="K176" s="272" t="s"/>
      <c r="L176" s="272" t="s"/>
      <c r="M176" s="272" t="s"/>
      <c r="N176" s="272" t="s"/>
      <c r="O176" s="272" t="s"/>
      <c r="P176" s="272" t="s"/>
      <c r="Q176" s="272" t="s"/>
      <c r="R176" s="272" t="s"/>
      <c r="S176" s="272" t="s"/>
      <c r="T176" s="272" t="s"/>
      <c r="U176" s="272" t="s"/>
      <c r="V176" s="272" t="s"/>
      <c r="W176" s="272" t="s"/>
      <c r="X176" s="272" t="s"/>
      <c r="Y176" s="272" t="s"/>
    </row>
    <row r="177" spans="1:25">
      <c r="A177" s="272" t="s"/>
      <c r="B177" s="272" t="s"/>
      <c r="C177" s="271" t="s"/>
      <c r="D177" s="272" t="s"/>
      <c r="E177" s="271" t="s"/>
      <c r="F177" s="272" t="s"/>
      <c r="G177" s="272" t="s"/>
      <c r="H177" s="271" t="s"/>
      <c r="I177" s="272" t="s"/>
      <c r="J177" s="272" t="s"/>
      <c r="K177" s="272" t="s"/>
      <c r="L177" s="272" t="s"/>
      <c r="M177" s="272" t="s"/>
      <c r="N177" s="272" t="s"/>
      <c r="O177" s="272" t="s"/>
      <c r="P177" s="272" t="s"/>
      <c r="Q177" s="272" t="s"/>
      <c r="R177" s="272" t="s"/>
      <c r="S177" s="272" t="s"/>
      <c r="T177" s="272" t="s"/>
      <c r="U177" s="272" t="s"/>
      <c r="V177" s="272" t="s"/>
      <c r="W177" s="272" t="s"/>
      <c r="X177" s="272" t="s"/>
      <c r="Y177" s="272" t="s"/>
    </row>
    <row r="178" spans="1:25">
      <c r="A178" s="272" t="s"/>
      <c r="B178" s="272" t="s"/>
      <c r="C178" s="271" t="s"/>
      <c r="D178" s="272" t="s"/>
      <c r="E178" s="271" t="s"/>
      <c r="F178" s="272" t="s"/>
      <c r="G178" s="272" t="s"/>
      <c r="H178" s="271" t="s"/>
      <c r="I178" s="272" t="s"/>
      <c r="J178" s="272" t="s"/>
      <c r="K178" s="272" t="s"/>
      <c r="L178" s="272" t="s"/>
      <c r="M178" s="272" t="s"/>
      <c r="N178" s="272" t="s"/>
      <c r="O178" s="272" t="s"/>
      <c r="P178" s="272" t="s"/>
      <c r="Q178" s="272" t="s"/>
      <c r="R178" s="272" t="s"/>
      <c r="S178" s="272" t="s"/>
      <c r="T178" s="272" t="s"/>
      <c r="U178" s="272" t="s"/>
      <c r="V178" s="272" t="s"/>
      <c r="W178" s="272" t="s"/>
      <c r="X178" s="272" t="s"/>
      <c r="Y178" s="272" t="s"/>
    </row>
    <row r="179" spans="1:25">
      <c r="A179" s="272" t="s"/>
      <c r="B179" s="272" t="s"/>
      <c r="C179" s="271" t="s"/>
      <c r="D179" s="272" t="s"/>
      <c r="E179" s="271" t="s"/>
      <c r="F179" s="272" t="s"/>
      <c r="G179" s="272" t="s"/>
      <c r="H179" s="271" t="s"/>
      <c r="I179" s="272" t="s"/>
      <c r="J179" s="272" t="s"/>
      <c r="K179" s="272" t="s"/>
      <c r="L179" s="272" t="s"/>
      <c r="M179" s="272" t="s"/>
      <c r="N179" s="272" t="s"/>
      <c r="O179" s="272" t="s"/>
      <c r="P179" s="272" t="s"/>
      <c r="Q179" s="272" t="s"/>
      <c r="R179" s="272" t="s"/>
      <c r="S179" s="272" t="s"/>
      <c r="T179" s="272" t="s"/>
      <c r="U179" s="272" t="s"/>
      <c r="V179" s="272" t="s"/>
      <c r="W179" s="272" t="s"/>
      <c r="X179" s="272" t="s"/>
      <c r="Y179" s="272" t="s"/>
    </row>
    <row r="180" spans="1:25">
      <c r="A180" s="272" t="s"/>
      <c r="B180" s="272" t="s"/>
      <c r="C180" s="271" t="s"/>
      <c r="D180" s="272" t="s"/>
      <c r="E180" s="271" t="s"/>
      <c r="F180" s="272" t="s"/>
      <c r="G180" s="272" t="s"/>
      <c r="H180" s="271" t="s"/>
      <c r="I180" s="272" t="s"/>
      <c r="J180" s="272" t="s"/>
      <c r="K180" s="272" t="s"/>
      <c r="L180" s="272" t="s"/>
      <c r="M180" s="272" t="s"/>
      <c r="N180" s="272" t="s"/>
      <c r="O180" s="272" t="s"/>
      <c r="P180" s="272" t="s"/>
      <c r="Q180" s="272" t="s"/>
      <c r="R180" s="272" t="s"/>
      <c r="S180" s="272" t="s"/>
      <c r="T180" s="272" t="s"/>
      <c r="U180" s="272" t="s"/>
      <c r="V180" s="272" t="s"/>
      <c r="W180" s="272" t="s"/>
      <c r="X180" s="272" t="s"/>
      <c r="Y180" s="272" t="s"/>
    </row>
    <row r="181" spans="1:25">
      <c r="A181" s="272" t="s"/>
      <c r="B181" s="272" t="s"/>
      <c r="C181" s="271" t="s"/>
      <c r="D181" s="272" t="s"/>
      <c r="E181" s="271" t="s"/>
      <c r="F181" s="272" t="s"/>
      <c r="G181" s="272" t="s"/>
      <c r="H181" s="271" t="s"/>
      <c r="I181" s="272" t="s"/>
      <c r="J181" s="272" t="s"/>
      <c r="K181" s="272" t="s"/>
      <c r="L181" s="272" t="s"/>
      <c r="M181" s="272" t="s"/>
      <c r="N181" s="272" t="s"/>
      <c r="O181" s="272" t="s"/>
      <c r="P181" s="272" t="s"/>
      <c r="Q181" s="272" t="s"/>
      <c r="R181" s="272" t="s"/>
      <c r="S181" s="272" t="s"/>
      <c r="T181" s="272" t="s"/>
      <c r="U181" s="272" t="s"/>
      <c r="V181" s="272" t="s"/>
      <c r="W181" s="272" t="s"/>
      <c r="X181" s="272" t="s"/>
      <c r="Y181" s="272" t="s"/>
    </row>
    <row r="182" spans="1:25">
      <c r="A182" s="272" t="s"/>
      <c r="B182" s="272" t="s"/>
      <c r="C182" s="271" t="s"/>
      <c r="D182" s="272" t="s"/>
      <c r="E182" s="271" t="s"/>
      <c r="F182" s="272" t="s"/>
      <c r="G182" s="272" t="s"/>
      <c r="H182" s="271" t="s"/>
      <c r="I182" s="272" t="s"/>
      <c r="J182" s="272" t="s"/>
      <c r="K182" s="272" t="s"/>
      <c r="L182" s="272" t="s"/>
      <c r="M182" s="272" t="s"/>
      <c r="N182" s="272" t="s"/>
      <c r="O182" s="272" t="s"/>
      <c r="P182" s="272" t="s"/>
      <c r="Q182" s="272" t="s"/>
      <c r="R182" s="272" t="s"/>
      <c r="S182" s="272" t="s"/>
      <c r="T182" s="272" t="s"/>
      <c r="U182" s="272" t="s"/>
      <c r="V182" s="272" t="s"/>
      <c r="W182" s="272" t="s"/>
      <c r="X182" s="272" t="s"/>
      <c r="Y182" s="272" t="s"/>
    </row>
    <row r="183" spans="1:25">
      <c r="A183" s="272" t="s"/>
      <c r="B183" s="272" t="s"/>
      <c r="C183" s="271" t="s"/>
      <c r="D183" s="272" t="s"/>
      <c r="E183" s="271" t="s"/>
      <c r="F183" s="272" t="s"/>
      <c r="G183" s="272" t="s"/>
      <c r="H183" s="271" t="s"/>
      <c r="I183" s="272" t="s"/>
      <c r="J183" s="272" t="s"/>
      <c r="K183" s="272" t="s"/>
      <c r="L183" s="272" t="s"/>
      <c r="M183" s="272" t="s"/>
      <c r="N183" s="272" t="s"/>
      <c r="O183" s="272" t="s"/>
      <c r="P183" s="272" t="s"/>
      <c r="Q183" s="272" t="s"/>
      <c r="R183" s="272" t="s"/>
      <c r="S183" s="272" t="s"/>
      <c r="T183" s="272" t="s"/>
      <c r="U183" s="272" t="s"/>
      <c r="V183" s="272" t="s"/>
      <c r="W183" s="272" t="s"/>
      <c r="X183" s="272" t="s"/>
      <c r="Y183" s="272" t="s"/>
    </row>
    <row r="184" spans="1:25">
      <c r="A184" s="272" t="s"/>
      <c r="B184" s="272" t="s"/>
      <c r="C184" s="271" t="s"/>
      <c r="D184" s="272" t="s"/>
      <c r="E184" s="271" t="s"/>
      <c r="F184" s="272" t="s"/>
      <c r="G184" s="272" t="s"/>
      <c r="H184" s="271" t="s"/>
      <c r="I184" s="272" t="s"/>
      <c r="J184" s="272" t="s"/>
      <c r="K184" s="272" t="s"/>
      <c r="L184" s="272" t="s"/>
      <c r="M184" s="272" t="s"/>
      <c r="N184" s="272" t="s"/>
      <c r="O184" s="272" t="s"/>
      <c r="P184" s="272" t="s"/>
      <c r="Q184" s="272" t="s"/>
      <c r="R184" s="272" t="s"/>
      <c r="S184" s="272" t="s"/>
      <c r="T184" s="272" t="s"/>
      <c r="U184" s="272" t="s"/>
      <c r="V184" s="272" t="s"/>
      <c r="W184" s="272" t="s"/>
      <c r="X184" s="272" t="s"/>
      <c r="Y184" s="272" t="s"/>
    </row>
    <row r="185" spans="1:25">
      <c r="A185" s="272" t="s"/>
      <c r="B185" s="272" t="s"/>
      <c r="C185" s="271" t="s"/>
      <c r="D185" s="272" t="s"/>
      <c r="E185" s="271" t="s"/>
      <c r="F185" s="272" t="s"/>
      <c r="G185" s="272" t="s"/>
      <c r="H185" s="271" t="s"/>
      <c r="I185" s="272" t="s"/>
      <c r="J185" s="272" t="s"/>
      <c r="K185" s="272" t="s"/>
      <c r="L185" s="272" t="s"/>
      <c r="M185" s="272" t="s"/>
      <c r="N185" s="272" t="s"/>
      <c r="O185" s="272" t="s"/>
      <c r="P185" s="272" t="s"/>
      <c r="Q185" s="272" t="s"/>
      <c r="R185" s="272" t="s"/>
      <c r="S185" s="272" t="s"/>
      <c r="T185" s="272" t="s"/>
      <c r="U185" s="272" t="s"/>
      <c r="V185" s="272" t="s"/>
      <c r="W185" s="272" t="s"/>
      <c r="X185" s="272" t="s"/>
      <c r="Y185" s="272" t="s"/>
    </row>
    <row r="186" spans="1:25">
      <c r="A186" s="272" t="s"/>
      <c r="B186" s="272" t="s"/>
      <c r="C186" s="271" t="s"/>
      <c r="D186" s="272" t="s"/>
      <c r="E186" s="271" t="s"/>
      <c r="F186" s="272" t="s"/>
      <c r="G186" s="272" t="s"/>
      <c r="H186" s="271" t="s"/>
      <c r="I186" s="272" t="s"/>
      <c r="J186" s="272" t="s"/>
      <c r="K186" s="272" t="s"/>
      <c r="L186" s="272" t="s"/>
      <c r="M186" s="272" t="s"/>
      <c r="N186" s="272" t="s"/>
      <c r="O186" s="272" t="s"/>
      <c r="P186" s="272" t="s"/>
      <c r="Q186" s="272" t="s"/>
      <c r="R186" s="272" t="s"/>
      <c r="S186" s="272" t="s"/>
      <c r="T186" s="272" t="s"/>
      <c r="U186" s="272" t="s"/>
      <c r="V186" s="272" t="s"/>
      <c r="W186" s="272" t="s"/>
      <c r="X186" s="272" t="s"/>
      <c r="Y186" s="272" t="s"/>
    </row>
    <row r="187" spans="1:25">
      <c r="A187" s="272" t="s"/>
      <c r="B187" s="272" t="s"/>
      <c r="C187" s="271" t="s"/>
      <c r="D187" s="272" t="s"/>
      <c r="E187" s="271" t="s"/>
      <c r="F187" s="272" t="s"/>
      <c r="G187" s="272" t="s"/>
      <c r="H187" s="271" t="s"/>
      <c r="I187" s="272" t="s"/>
      <c r="J187" s="272" t="s"/>
      <c r="K187" s="272" t="s"/>
      <c r="L187" s="272" t="s"/>
      <c r="M187" s="272" t="s"/>
      <c r="N187" s="272" t="s"/>
      <c r="O187" s="272" t="s"/>
      <c r="P187" s="272" t="s"/>
      <c r="Q187" s="272" t="s"/>
      <c r="R187" s="272" t="s"/>
      <c r="S187" s="272" t="s"/>
      <c r="T187" s="272" t="s"/>
      <c r="U187" s="272" t="s"/>
      <c r="V187" s="272" t="s"/>
      <c r="W187" s="272" t="s"/>
      <c r="X187" s="272" t="s"/>
      <c r="Y187" s="272" t="s"/>
    </row>
    <row r="188" spans="1:25">
      <c r="A188" s="272" t="s"/>
      <c r="B188" s="272" t="s"/>
      <c r="C188" s="271" t="s"/>
      <c r="D188" s="272" t="s"/>
      <c r="E188" s="271" t="s"/>
      <c r="F188" s="272" t="s"/>
      <c r="G188" s="272" t="s"/>
      <c r="H188" s="271" t="s"/>
      <c r="I188" s="272" t="s"/>
      <c r="J188" s="272" t="s"/>
      <c r="K188" s="272" t="s"/>
      <c r="L188" s="272" t="s"/>
      <c r="M188" s="272" t="s"/>
      <c r="N188" s="272" t="s"/>
      <c r="O188" s="272" t="s"/>
      <c r="P188" s="272" t="s"/>
      <c r="Q188" s="272" t="s"/>
      <c r="R188" s="272" t="s"/>
      <c r="S188" s="272" t="s"/>
      <c r="T188" s="272" t="s"/>
      <c r="U188" s="272" t="s"/>
      <c r="V188" s="272" t="s"/>
      <c r="W188" s="272" t="s"/>
      <c r="X188" s="272" t="s"/>
      <c r="Y188" s="272" t="s"/>
    </row>
    <row r="189" spans="1:25">
      <c r="A189" s="272" t="s"/>
      <c r="B189" s="272" t="s"/>
      <c r="C189" s="271" t="s"/>
      <c r="D189" s="272" t="s"/>
      <c r="E189" s="271" t="s"/>
      <c r="F189" s="272" t="s"/>
      <c r="G189" s="272" t="s"/>
      <c r="H189" s="271" t="s"/>
      <c r="I189" s="272" t="s"/>
      <c r="J189" s="272" t="s"/>
      <c r="K189" s="272" t="s"/>
      <c r="L189" s="272" t="s"/>
      <c r="M189" s="272" t="s"/>
      <c r="N189" s="272" t="s"/>
      <c r="O189" s="272" t="s"/>
      <c r="P189" s="272" t="s"/>
      <c r="Q189" s="272" t="s"/>
      <c r="R189" s="272" t="s"/>
      <c r="S189" s="272" t="s"/>
      <c r="T189" s="272" t="s"/>
      <c r="U189" s="272" t="s"/>
      <c r="V189" s="272" t="s"/>
      <c r="W189" s="272" t="s"/>
      <c r="X189" s="272" t="s"/>
      <c r="Y189" s="272" t="s"/>
    </row>
    <row r="190" spans="1:25">
      <c r="A190" s="272" t="s"/>
      <c r="B190" s="272" t="s"/>
      <c r="C190" s="271" t="s"/>
      <c r="D190" s="272" t="s"/>
      <c r="E190" s="271" t="s"/>
      <c r="F190" s="272" t="s"/>
      <c r="G190" s="272" t="s"/>
      <c r="H190" s="271" t="s"/>
      <c r="I190" s="272" t="s"/>
      <c r="J190" s="272" t="s"/>
      <c r="K190" s="272" t="s"/>
      <c r="L190" s="272" t="s"/>
      <c r="M190" s="272" t="s"/>
      <c r="N190" s="272" t="s"/>
      <c r="O190" s="272" t="s"/>
      <c r="P190" s="272" t="s"/>
      <c r="Q190" s="272" t="s"/>
      <c r="R190" s="272" t="s"/>
      <c r="S190" s="272" t="s"/>
      <c r="T190" s="272" t="s"/>
      <c r="U190" s="272" t="s"/>
      <c r="V190" s="272" t="s"/>
      <c r="W190" s="272" t="s"/>
      <c r="X190" s="272" t="s"/>
      <c r="Y190" s="272" t="s"/>
    </row>
    <row r="191" spans="1:25">
      <c r="A191" s="272" t="s"/>
      <c r="B191" s="272" t="s"/>
      <c r="C191" s="271" t="s"/>
      <c r="D191" s="272" t="s"/>
      <c r="E191" s="271" t="s"/>
      <c r="F191" s="272" t="s"/>
      <c r="G191" s="272" t="s"/>
      <c r="H191" s="271" t="s"/>
      <c r="I191" s="272" t="s"/>
      <c r="J191" s="272" t="s"/>
      <c r="K191" s="272" t="s"/>
      <c r="L191" s="272" t="s"/>
      <c r="M191" s="272" t="s"/>
      <c r="N191" s="272" t="s"/>
      <c r="O191" s="272" t="s"/>
      <c r="P191" s="272" t="s"/>
      <c r="Q191" s="272" t="s"/>
      <c r="R191" s="272" t="s"/>
      <c r="S191" s="272" t="s"/>
      <c r="T191" s="272" t="s"/>
      <c r="U191" s="272" t="s"/>
      <c r="V191" s="272" t="s"/>
      <c r="W191" s="272" t="s"/>
      <c r="X191" s="272" t="s"/>
      <c r="Y191" s="272" t="s"/>
    </row>
    <row r="192" spans="1:25">
      <c r="A192" s="272" t="s"/>
      <c r="B192" s="272" t="s"/>
      <c r="C192" s="271" t="s"/>
      <c r="D192" s="272" t="s"/>
      <c r="E192" s="271" t="s"/>
      <c r="F192" s="272" t="s"/>
      <c r="G192" s="272" t="s"/>
      <c r="H192" s="271" t="s"/>
      <c r="I192" s="272" t="s"/>
      <c r="J192" s="272" t="s"/>
      <c r="K192" s="272" t="s"/>
      <c r="L192" s="272" t="s"/>
      <c r="M192" s="272" t="s"/>
      <c r="N192" s="272" t="s"/>
      <c r="O192" s="272" t="s"/>
      <c r="P192" s="272" t="s"/>
      <c r="Q192" s="272" t="s"/>
      <c r="R192" s="272" t="s"/>
      <c r="S192" s="272" t="s"/>
      <c r="T192" s="272" t="s"/>
      <c r="U192" s="272" t="s"/>
      <c r="V192" s="272" t="s"/>
      <c r="W192" s="272" t="s"/>
      <c r="X192" s="272" t="s"/>
      <c r="Y192" s="272" t="s"/>
    </row>
    <row r="193" spans="1:25">
      <c r="A193" s="272" t="s"/>
      <c r="B193" s="272" t="s"/>
      <c r="C193" s="271" t="s"/>
      <c r="D193" s="272" t="s"/>
      <c r="E193" s="271" t="s"/>
      <c r="F193" s="272" t="s"/>
      <c r="G193" s="272" t="s"/>
      <c r="H193" s="271" t="s"/>
      <c r="I193" s="272" t="s"/>
      <c r="J193" s="272" t="s"/>
      <c r="K193" s="272" t="s"/>
      <c r="L193" s="272" t="s"/>
      <c r="M193" s="272" t="s"/>
      <c r="N193" s="272" t="s"/>
      <c r="O193" s="272" t="s"/>
      <c r="P193" s="272" t="s"/>
      <c r="Q193" s="272" t="s"/>
      <c r="R193" s="272" t="s"/>
      <c r="S193" s="272" t="s"/>
      <c r="T193" s="272" t="s"/>
      <c r="U193" s="272" t="s"/>
      <c r="V193" s="272" t="s"/>
      <c r="W193" s="272" t="s"/>
      <c r="X193" s="272" t="s"/>
      <c r="Y193" s="272" t="s"/>
    </row>
    <row r="194" spans="1:25">
      <c r="A194" s="272" t="s"/>
      <c r="B194" s="272" t="s"/>
      <c r="C194" s="271" t="s"/>
      <c r="D194" s="272" t="s"/>
      <c r="E194" s="271" t="s"/>
      <c r="F194" s="272" t="s"/>
      <c r="G194" s="272" t="s"/>
      <c r="H194" s="271" t="s"/>
      <c r="I194" s="272" t="s"/>
      <c r="J194" s="272" t="s"/>
      <c r="K194" s="272" t="s"/>
      <c r="L194" s="272" t="s"/>
      <c r="M194" s="272" t="s"/>
      <c r="N194" s="272" t="s"/>
      <c r="O194" s="272" t="s"/>
      <c r="P194" s="272" t="s"/>
      <c r="Q194" s="272" t="s"/>
      <c r="R194" s="272" t="s"/>
      <c r="S194" s="272" t="s"/>
      <c r="T194" s="272" t="s"/>
      <c r="U194" s="272" t="s"/>
      <c r="V194" s="272" t="s"/>
      <c r="W194" s="272" t="s"/>
      <c r="X194" s="272" t="s"/>
      <c r="Y194" s="272" t="s"/>
    </row>
    <row r="195" spans="1:25">
      <c r="A195" s="272" t="s"/>
      <c r="B195" s="272" t="s"/>
      <c r="C195" s="271" t="s"/>
      <c r="D195" s="272" t="s"/>
      <c r="E195" s="271" t="s"/>
      <c r="F195" s="272" t="s"/>
      <c r="G195" s="272" t="s"/>
      <c r="H195" s="271" t="s"/>
      <c r="I195" s="272" t="s"/>
      <c r="J195" s="272" t="s"/>
      <c r="K195" s="272" t="s"/>
      <c r="L195" s="272" t="s"/>
      <c r="M195" s="272" t="s"/>
      <c r="N195" s="272" t="s"/>
      <c r="O195" s="272" t="s"/>
      <c r="P195" s="272" t="s"/>
      <c r="Q195" s="272" t="s"/>
      <c r="R195" s="272" t="s"/>
      <c r="S195" s="272" t="s"/>
      <c r="T195" s="272" t="s"/>
      <c r="U195" s="272" t="s"/>
      <c r="V195" s="272" t="s"/>
      <c r="W195" s="272" t="s"/>
      <c r="X195" s="272" t="s"/>
      <c r="Y195" s="272" t="s"/>
    </row>
    <row r="196" spans="1:25">
      <c r="A196" s="272" t="s"/>
      <c r="B196" s="272" t="s"/>
      <c r="C196" s="271" t="s"/>
      <c r="D196" s="272" t="s"/>
      <c r="E196" s="271" t="s"/>
      <c r="F196" s="272" t="s"/>
      <c r="G196" s="272" t="s"/>
      <c r="H196" s="271" t="s"/>
      <c r="I196" s="272" t="s"/>
      <c r="J196" s="272" t="s"/>
      <c r="K196" s="272" t="s"/>
      <c r="L196" s="272" t="s"/>
      <c r="M196" s="272" t="s"/>
      <c r="N196" s="272" t="s"/>
      <c r="O196" s="272" t="s"/>
      <c r="P196" s="272" t="s"/>
      <c r="Q196" s="272" t="s"/>
      <c r="R196" s="272" t="s"/>
      <c r="S196" s="272" t="s"/>
      <c r="T196" s="272" t="s"/>
      <c r="U196" s="272" t="s"/>
      <c r="V196" s="272" t="s"/>
      <c r="W196" s="272" t="s"/>
      <c r="X196" s="272" t="s"/>
      <c r="Y196" s="272" t="s"/>
    </row>
    <row r="197" spans="1:25">
      <c r="A197" s="272" t="s"/>
      <c r="B197" s="272" t="s"/>
      <c r="C197" s="271" t="s"/>
      <c r="D197" s="272" t="s"/>
      <c r="E197" s="271" t="s"/>
      <c r="F197" s="272" t="s"/>
      <c r="G197" s="272" t="s"/>
      <c r="H197" s="271" t="s"/>
      <c r="I197" s="272" t="s"/>
      <c r="J197" s="272" t="s"/>
      <c r="K197" s="272" t="s"/>
      <c r="L197" s="272" t="s"/>
      <c r="M197" s="272" t="s"/>
      <c r="N197" s="272" t="s"/>
      <c r="O197" s="272" t="s"/>
      <c r="P197" s="272" t="s"/>
      <c r="Q197" s="272" t="s"/>
      <c r="R197" s="272" t="s"/>
      <c r="S197" s="272" t="s"/>
      <c r="T197" s="272" t="s"/>
      <c r="U197" s="272" t="s"/>
      <c r="V197" s="272" t="s"/>
      <c r="W197" s="272" t="s"/>
      <c r="X197" s="272" t="s"/>
      <c r="Y197" s="272" t="s"/>
    </row>
    <row r="198" spans="1:25">
      <c r="A198" s="272" t="s"/>
      <c r="B198" s="272" t="s"/>
      <c r="C198" s="271" t="s"/>
      <c r="D198" s="272" t="s"/>
      <c r="E198" s="271" t="s"/>
      <c r="F198" s="272" t="s"/>
      <c r="G198" s="272" t="s"/>
      <c r="H198" s="271" t="s"/>
      <c r="I198" s="272" t="s"/>
      <c r="J198" s="272" t="s"/>
      <c r="K198" s="272" t="s"/>
      <c r="L198" s="272" t="s"/>
      <c r="M198" s="272" t="s"/>
      <c r="N198" s="272" t="s"/>
      <c r="O198" s="272" t="s"/>
      <c r="P198" s="272" t="s"/>
      <c r="Q198" s="272" t="s"/>
      <c r="R198" s="272" t="s"/>
      <c r="S198" s="272" t="s"/>
      <c r="T198" s="272" t="s"/>
      <c r="U198" s="272" t="s"/>
      <c r="V198" s="272" t="s"/>
      <c r="W198" s="272" t="s"/>
      <c r="X198" s="272" t="s"/>
      <c r="Y198" s="272" t="s"/>
    </row>
    <row r="199" spans="1:25">
      <c r="A199" s="272" t="s"/>
      <c r="B199" s="272" t="s"/>
      <c r="C199" s="271" t="s"/>
      <c r="D199" s="272" t="s"/>
      <c r="E199" s="271" t="s"/>
      <c r="F199" s="272" t="s"/>
      <c r="G199" s="272" t="s"/>
      <c r="H199" s="271" t="s"/>
      <c r="I199" s="272" t="s"/>
      <c r="J199" s="272" t="s"/>
      <c r="K199" s="272" t="s"/>
      <c r="L199" s="272" t="s"/>
      <c r="M199" s="272" t="s"/>
      <c r="N199" s="272" t="s"/>
      <c r="O199" s="272" t="s"/>
      <c r="P199" s="272" t="s"/>
      <c r="Q199" s="272" t="s"/>
      <c r="R199" s="272" t="s"/>
      <c r="S199" s="272" t="s"/>
      <c r="T199" s="272" t="s"/>
      <c r="U199" s="272" t="s"/>
      <c r="V199" s="272" t="s"/>
      <c r="W199" s="272" t="s"/>
      <c r="X199" s="272" t="s"/>
      <c r="Y199" s="272" t="s"/>
    </row>
    <row r="200" spans="3:8">
      <c r="C200" s="278" t="s"/>
      <c r="E200" s="279" t="s"/>
      <c r="H200" s="279" t="s"/>
    </row>
    <row r="201" spans="3:8">
      <c r="C201" s="278" t="s"/>
      <c r="E201" s="279" t="s"/>
      <c r="H201" s="279" t="s"/>
    </row>
  </sheetData>
  <dataValidations>
    <dataValidation type="list" errorStyle="stop" allowBlank="true" showDropDown="false" showInputMessage="true" showErrorMessage="true" prompt="" sqref="H11:H1048576">
      <formula1>"是,否,"</formula1>
    </dataValidation>
    <dataValidation type="list" errorStyle="stop" allowBlank="true" showDropDown="false" showInputMessage="true" showErrorMessage="true" prompt="" sqref="C11:C1048576">
      <formula1>"业务层,原始层,中间层,"</formula1>
    </dataValidation>
    <dataValidation type="list" errorStyle="stop" allowBlank="true" showDropDown="false" showInputMessage="true" showErrorMessage="true" prompt="" sqref="E11:E1048576">
      <formula1>"可下线,待确认,"</formula1>
    </dataValidation>
  </dataValidations>
</worksheet>
</file>

<file path=xl/worksheets/sheet4.xml><?xml version="1.0" encoding="utf-8"?>
<worksheet xmlns="http://schemas.openxmlformats.org/spreadsheetml/2006/main">
  <sheetPr codeName="表到项目的映射">
    <tabColor/>
  </sheetPr>
  <dimension ref="B85"/>
  <sheetViews>
    <sheetView showGridLines="true" workbookViewId="0"/>
  </sheetViews>
  <sheetFormatPr baseColWidth="13" defaultRowHeight="18" customHeight="true"/>
  <cols>
    <col min="1" max="1" width="52.8594" style="297" customWidth="true"/>
    <col min="2" max="2" width="35.9297" style="297" customWidth="true"/>
    <col min="3" max="26" width="13.6094" style="297"/>
  </cols>
  <sheetData>
    <row r="1" spans="1:2">
      <c r="A1" s="264" t="s">
        <v>458</v>
      </c>
      <c r="B1" s="264" t="s">
        <v>459</v>
      </c>
    </row>
    <row r="2" spans="1:2">
      <c r="A2" s="264" t="s">
        <v>460</v>
      </c>
      <c r="B2" s="264" t="s">
        <v>356</v>
      </c>
    </row>
    <row r="3" spans="1:2">
      <c r="A3" s="264" t="s">
        <v>461</v>
      </c>
      <c r="B3" s="264" t="s">
        <v>375</v>
      </c>
    </row>
    <row r="4" spans="2:2">
      <c r="B4" s="264" t="s">
        <v>380</v>
      </c>
    </row>
    <row r="5" spans="1:2">
      <c r="A5" s="264" t="s">
        <v>462</v>
      </c>
      <c r="B5" s="264" t="s">
        <v>399</v>
      </c>
    </row>
    <row r="6" spans="2:2">
      <c r="B6" s="264" t="s">
        <v>407</v>
      </c>
    </row>
    <row r="7" spans="2:2">
      <c r="B7" s="264" t="s">
        <v>393</v>
      </c>
    </row>
    <row r="8" spans="2:2">
      <c r="B8" s="264" t="s">
        <v>186</v>
      </c>
    </row>
    <row r="9" spans="2:2">
      <c r="B9" s="264" t="s">
        <v>169</v>
      </c>
    </row>
    <row r="10" spans="1:2">
      <c r="A10" s="264" t="s">
        <v>463</v>
      </c>
      <c r="B10" s="264" t="s">
        <v>393</v>
      </c>
    </row>
    <row r="11" spans="2:2">
      <c r="B11" s="264" t="s">
        <v>186</v>
      </c>
    </row>
    <row r="12" spans="2:2">
      <c r="B12" s="264" t="s">
        <v>169</v>
      </c>
    </row>
    <row r="13" spans="1:2">
      <c r="A13" s="264" t="s">
        <v>464</v>
      </c>
      <c r="B13" s="264" t="s">
        <v>210</v>
      </c>
    </row>
    <row r="14" spans="2:2">
      <c r="B14" s="264" t="s">
        <v>121</v>
      </c>
    </row>
    <row r="15" spans="1:2">
      <c r="A15" s="264" t="s">
        <v>465</v>
      </c>
      <c r="B15" s="264" t="s">
        <v>280</v>
      </c>
    </row>
    <row r="16" spans="2:2">
      <c r="B16" s="264" t="s">
        <v>186</v>
      </c>
    </row>
    <row r="17" spans="2:2">
      <c r="B17" s="264" t="s">
        <v>332</v>
      </c>
    </row>
    <row r="18" spans="1:2">
      <c r="A18" s="264" t="s">
        <v>466</v>
      </c>
      <c r="B18" s="264" t="s">
        <v>308</v>
      </c>
    </row>
    <row r="19" spans="1:2">
      <c r="A19" s="264" t="s">
        <v>467</v>
      </c>
      <c r="B19" s="264" t="s">
        <v>407</v>
      </c>
    </row>
    <row r="20" spans="2:2">
      <c r="B20" s="264" t="s">
        <v>393</v>
      </c>
    </row>
    <row r="21" spans="1:2">
      <c r="A21" s="264" t="s">
        <v>468</v>
      </c>
      <c r="B21" s="264" t="s">
        <v>469</v>
      </c>
    </row>
    <row r="22" spans="2:2">
      <c r="B22" s="264" t="s">
        <v>407</v>
      </c>
    </row>
    <row r="23" spans="2:2">
      <c r="B23" s="264" t="s">
        <v>393</v>
      </c>
    </row>
    <row r="24" spans="2:2">
      <c r="B24" s="264" t="s">
        <v>280</v>
      </c>
    </row>
    <row r="25" spans="1:2">
      <c r="A25" s="264" t="s">
        <v>470</v>
      </c>
      <c r="B25" s="264" t="s">
        <v>469</v>
      </c>
    </row>
    <row r="26" spans="1:2">
      <c r="A26" s="264" t="s">
        <v>471</v>
      </c>
      <c r="B26" s="264" t="s">
        <v>399</v>
      </c>
    </row>
    <row r="27" spans="2:2">
      <c r="B27" s="264" t="s">
        <v>356</v>
      </c>
    </row>
    <row r="28" spans="2:2">
      <c r="B28" s="264" t="s">
        <v>272</v>
      </c>
    </row>
    <row r="29" spans="1:2">
      <c r="A29" s="264" t="s">
        <v>472</v>
      </c>
      <c r="B29" s="264" t="s">
        <v>356</v>
      </c>
    </row>
    <row r="30" spans="1:2">
      <c r="A30" s="264" t="s">
        <v>473</v>
      </c>
      <c r="B30" s="264" t="s">
        <v>356</v>
      </c>
    </row>
    <row r="31" spans="2:2">
      <c r="B31" s="264" t="s">
        <v>292</v>
      </c>
    </row>
    <row r="32" spans="2:2">
      <c r="B32" s="264" t="s">
        <v>407</v>
      </c>
    </row>
    <row r="33" spans="1:2">
      <c r="A33" s="264" t="s">
        <v>474</v>
      </c>
      <c r="B33" s="264" t="s">
        <v>356</v>
      </c>
    </row>
    <row r="34" spans="2:2">
      <c r="B34" s="264" t="s">
        <v>186</v>
      </c>
    </row>
    <row r="35" spans="1:2">
      <c r="A35" s="264" t="s">
        <v>475</v>
      </c>
      <c r="B35" s="264" t="s">
        <v>186</v>
      </c>
    </row>
    <row r="36" spans="2:2">
      <c r="B36" s="264" t="s">
        <v>476</v>
      </c>
    </row>
    <row r="37" spans="2:2">
      <c r="B37" s="264" t="s">
        <v>155</v>
      </c>
    </row>
    <row r="38" spans="1:2">
      <c r="A38" s="264" t="s">
        <v>477</v>
      </c>
      <c r="B38" s="264" t="s">
        <v>186</v>
      </c>
    </row>
    <row r="39" spans="1:2">
      <c r="A39" s="264" t="s">
        <v>478</v>
      </c>
      <c r="B39" s="264" t="s">
        <v>399</v>
      </c>
    </row>
    <row r="40" spans="2:2">
      <c r="B40" s="264" t="s">
        <v>356</v>
      </c>
    </row>
    <row r="41" spans="2:2">
      <c r="B41" s="264" t="s">
        <v>469</v>
      </c>
    </row>
    <row r="42" spans="1:2">
      <c r="A42" s="264" t="s">
        <v>479</v>
      </c>
      <c r="B42" s="264" t="s">
        <v>356</v>
      </c>
    </row>
    <row r="43" spans="2:2">
      <c r="B43" s="264" t="s">
        <v>131</v>
      </c>
    </row>
    <row r="44" spans="2:2">
      <c r="B44" s="264" t="s">
        <v>186</v>
      </c>
    </row>
    <row r="45" spans="2:2">
      <c r="B45" s="264" t="s">
        <v>169</v>
      </c>
    </row>
    <row r="46" spans="1:2">
      <c r="A46" s="264" t="s">
        <v>480</v>
      </c>
      <c r="B46" s="264" t="s">
        <v>272</v>
      </c>
    </row>
    <row r="47" spans="1:2">
      <c r="A47" s="264" t="s">
        <v>481</v>
      </c>
      <c r="B47" s="264" t="s">
        <v>169</v>
      </c>
    </row>
    <row r="48" spans="2:2">
      <c r="B48" s="264" t="s">
        <v>476</v>
      </c>
    </row>
    <row r="49" spans="1:2">
      <c r="A49" s="264" t="s">
        <v>482</v>
      </c>
      <c r="B49" s="264" t="s">
        <v>399</v>
      </c>
    </row>
    <row r="50" spans="2:2">
      <c r="B50" s="264" t="s">
        <v>356</v>
      </c>
    </row>
    <row r="51" spans="2:2">
      <c r="B51" s="264" t="s">
        <v>407</v>
      </c>
    </row>
    <row r="52" spans="2:2">
      <c r="B52" s="264" t="s">
        <v>393</v>
      </c>
    </row>
    <row r="53" spans="2:2">
      <c r="B53" s="264" t="s">
        <v>343</v>
      </c>
    </row>
    <row r="54" spans="2:2">
      <c r="B54" s="264" t="s">
        <v>169</v>
      </c>
    </row>
    <row r="55" spans="1:2">
      <c r="A55" s="264" t="s">
        <v>483</v>
      </c>
      <c r="B55" s="264" t="s">
        <v>356</v>
      </c>
    </row>
    <row r="56" spans="2:2">
      <c r="B56" s="264" t="s">
        <v>407</v>
      </c>
    </row>
    <row r="57" spans="2:2">
      <c r="B57" s="264" t="s">
        <v>393</v>
      </c>
    </row>
    <row r="58" spans="2:2">
      <c r="B58" s="264" t="s">
        <v>169</v>
      </c>
    </row>
    <row r="59" spans="1:2">
      <c r="A59" s="264" t="s">
        <v>484</v>
      </c>
      <c r="B59" s="264" t="s">
        <v>356</v>
      </c>
    </row>
    <row r="60" spans="2:2">
      <c r="B60" s="264" t="s">
        <v>292</v>
      </c>
    </row>
    <row r="61" spans="2:2">
      <c r="B61" s="264" t="s">
        <v>407</v>
      </c>
    </row>
    <row r="62" spans="2:2">
      <c r="B62" s="264" t="s">
        <v>169</v>
      </c>
    </row>
    <row r="63" spans="1:2">
      <c r="A63" s="264" t="s">
        <v>485</v>
      </c>
      <c r="B63" s="264" t="s">
        <v>356</v>
      </c>
    </row>
    <row r="64" spans="2:2">
      <c r="B64" s="264" t="s">
        <v>169</v>
      </c>
    </row>
    <row r="65" spans="1:2">
      <c r="A65" s="264" t="s">
        <v>486</v>
      </c>
      <c r="B65" s="264" t="s">
        <v>131</v>
      </c>
    </row>
    <row r="66" spans="2:2">
      <c r="B66" s="264" t="s">
        <v>169</v>
      </c>
    </row>
    <row r="67" spans="1:2">
      <c r="A67" s="264" t="s">
        <v>487</v>
      </c>
      <c r="B67" s="264" t="s">
        <v>169</v>
      </c>
    </row>
    <row r="68" spans="1:2">
      <c r="A68" s="264" t="s">
        <v>488</v>
      </c>
      <c r="B68" s="264" t="s">
        <v>469</v>
      </c>
    </row>
    <row r="69" spans="2:2">
      <c r="B69" s="264" t="s">
        <v>131</v>
      </c>
    </row>
    <row r="70" spans="2:2">
      <c r="B70" s="264" t="s">
        <v>298</v>
      </c>
    </row>
    <row r="71" spans="2:2">
      <c r="B71" s="264" t="s">
        <v>338</v>
      </c>
    </row>
    <row r="72" spans="2:2">
      <c r="B72" s="264" t="s">
        <v>169</v>
      </c>
    </row>
    <row r="73" spans="2:2">
      <c r="B73" s="264" t="s">
        <v>286</v>
      </c>
    </row>
    <row r="74" spans="2:2">
      <c r="B74" s="264" t="s">
        <v>155</v>
      </c>
    </row>
    <row r="75" spans="1:2">
      <c r="A75" s="264" t="s">
        <v>489</v>
      </c>
      <c r="B75" s="264" t="s">
        <v>169</v>
      </c>
    </row>
    <row r="76" spans="2:2">
      <c r="B76" s="264" t="s">
        <v>155</v>
      </c>
    </row>
    <row r="77" spans="1:2">
      <c r="A77" s="264" t="s">
        <v>490</v>
      </c>
      <c r="B77" s="264" t="s">
        <v>169</v>
      </c>
    </row>
    <row r="78" spans="2:2">
      <c r="B78" s="264" t="s">
        <v>476</v>
      </c>
    </row>
    <row r="79" spans="1:2">
      <c r="A79" s="264" t="s">
        <v>491</v>
      </c>
      <c r="B79" s="264" t="s">
        <v>375</v>
      </c>
    </row>
    <row r="80" spans="2:2">
      <c r="B80" s="264" t="s">
        <v>380</v>
      </c>
    </row>
    <row r="81" spans="2:2">
      <c r="B81" s="264" t="s">
        <v>393</v>
      </c>
    </row>
    <row r="82" spans="2:2">
      <c r="B82" s="264" t="s">
        <v>186</v>
      </c>
    </row>
    <row r="83" spans="2:2">
      <c r="B83" s="264" t="s">
        <v>169</v>
      </c>
    </row>
    <row r="84" spans="1:2">
      <c r="A84" s="264" t="s">
        <v>492</v>
      </c>
      <c r="B84" s="264" t="s">
        <v>186</v>
      </c>
    </row>
    <row r="85" spans="2:2">
      <c r="B85" s="264" t="s">
        <v>169</v>
      </c>
    </row>
  </sheetData>
  <mergeCells count="24">
    <mergeCell ref="A3:A4"/>
    <mergeCell ref="A5:A9"/>
    <mergeCell ref="A10:A12"/>
    <mergeCell ref="A13:A14"/>
    <mergeCell ref="A15:A17"/>
    <mergeCell ref="A19:A20"/>
    <mergeCell ref="A21:A24"/>
    <mergeCell ref="A26:A28"/>
    <mergeCell ref="A30:A32"/>
    <mergeCell ref="A79:A83"/>
    <mergeCell ref="A68:A74"/>
    <mergeCell ref="A84:A85"/>
    <mergeCell ref="A77:A78"/>
    <mergeCell ref="A75:A76"/>
    <mergeCell ref="A65:A66"/>
    <mergeCell ref="A63:A64"/>
    <mergeCell ref="A59:A62"/>
    <mergeCell ref="A55:A58"/>
    <mergeCell ref="A49:A54"/>
    <mergeCell ref="A47:A48"/>
    <mergeCell ref="A42:A45"/>
    <mergeCell ref="A39:A41"/>
    <mergeCell ref="A35:A37"/>
    <mergeCell ref="A33:A34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2026-06-15T10:32:10Z</dcterms:created>
  <dcterms:modified xsi:type="dcterms:W3CDTF">2026-06-15T10:32:10Z</dcterms:modified>
</cp:coreProperties>
</file>